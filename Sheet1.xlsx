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JA_Control" sheetId="1" r:id="rId5"/>
    <sheet state="visible" name="Debt_Index" sheetId="2" r:id="rId6"/>
    <sheet state="visible" name="AutoTestResults" sheetId="3" r:id="rId7"/>
    <sheet state="visible" name="Goals" sheetId="4" r:id="rId8"/>
    <sheet state="visible" name="Recurring" sheetId="5" r:id="rId9"/>
    <sheet state="visible" name="UserData" sheetId="6" r:id="rId10"/>
    <sheet state="visible" name="Balances" sheetId="7" r:id="rId11"/>
    <sheet state="visible" name="Account_Balances" sheetId="8" r:id="rId12"/>
    <sheet state="visible" name="Config" sheetId="9" r:id="rId13"/>
    <sheet state="visible" name="Sheet1" sheetId="10" r:id="rId14"/>
    <sheet state="visible" name="Queue" sheetId="11" r:id="rId15"/>
    <sheet state="visible" name="Accounts" sheetId="12" r:id="rId16"/>
    <sheet state="visible" name="Sms_Templates" sheetId="13" r:id="rId17"/>
    <sheet state="visible" name="Dedup_Events" sheetId="14" r:id="rId18"/>
    <sheet state="visible" name="Sheet1_legacy_20260122_0001" sheetId="15" r:id="rId19"/>
    <sheet state="visible" name="Transfers_Tracking" sheetId="16" r:id="rId20"/>
    <sheet state="visible" name="Categories" sheetId="17" r:id="rId21"/>
    <sheet state="visible" name="Ingress_Queue" sheetId="18" r:id="rId22"/>
    <sheet state="visible" name="Budget_USER1" sheetId="19" r:id="rId23"/>
    <sheet state="visible" name="User_USER1" sheetId="20" r:id="rId24"/>
    <sheet state="visible" name="Ingress_Debug" sheetId="21" r:id="rId25"/>
    <sheet state="visible" name="Dashboard" sheetId="22" r:id="rId26"/>
    <sheet state="visible" name="Special_Patterns" sheetId="23" r:id="rId27"/>
    <sheet state="visible" name="Account_Registry" sheetId="24" r:id="rId28"/>
    <sheet state="visible" name="Run_Log" sheetId="25" r:id="rId29"/>
    <sheet state="visible" name="Debt_Ledger" sheetId="26" r:id="rId30"/>
    <sheet state="visible" name="Analytics" sheetId="27" r:id="rId31"/>
    <sheet state="visible" name="Classifier_Map" sheetId="28" r:id="rId32"/>
    <sheet state="visible" name="Budgets" sheetId="29" r:id="rId33"/>
    <sheet state="visible" name="Users" sheetId="30" r:id="rId34"/>
  </sheets>
  <definedNames>
    <definedName name="BudgetCategories">#REF!</definedName>
  </definedNames>
  <calcPr/>
</workbook>
</file>

<file path=xl/sharedStrings.xml><?xml version="1.0" encoding="utf-8"?>
<sst xmlns="http://schemas.openxmlformats.org/spreadsheetml/2006/main" count="5762" uniqueCount="1694">
  <si>
    <t>🎯 SJA MoneyTracker - لوحة التحكم V1</t>
  </si>
  <si>
    <t>⚡ الأوامر السريعة</t>
  </si>
  <si>
    <t>الأمر</t>
  </si>
  <si>
    <t>الوصف</t>
  </si>
  <si>
    <t>الحالة</t>
  </si>
  <si>
    <t>تشغيل</t>
  </si>
  <si>
    <t>SJA_COMPLETE_WORKFLOW</t>
  </si>
  <si>
    <t>إعداد كامل للنظام</t>
  </si>
  <si>
    <t>✅ جاهز</t>
  </si>
  <si>
    <t>CLEANUP_DELETE_USER2_UPDATE_USER1</t>
  </si>
  <si>
    <t>حذف USER2 وتحديث USER1</t>
  </si>
  <si>
    <t>✅ مكتمل</t>
  </si>
  <si>
    <t>RESET_ALL_TRANSACTION_DATA</t>
  </si>
  <si>
    <t>تصفير جميع البيانات</t>
  </si>
  <si>
    <t>⚠️ حذر</t>
  </si>
  <si>
    <t>COMPLETE_TELEGRAM_SETUP</t>
  </si>
  <si>
    <t>إعداد Telegram كامل</t>
  </si>
  <si>
    <t>TEST_AFTER_DELETE</t>
  </si>
  <si>
    <t>اختبار بعد الحذف</t>
  </si>
  <si>
    <t>📊 إحصائيات النظام</t>
  </si>
  <si>
    <t>المؤشر</t>
  </si>
  <si>
    <t>القيمة</t>
  </si>
  <si>
    <t>عدد المستخدمين</t>
  </si>
  <si>
    <t>USER1 (SJA)</t>
  </si>
  <si>
    <t>عدد الحسابات</t>
  </si>
  <si>
    <t>4 بنوك</t>
  </si>
  <si>
    <t>عدد الفئات</t>
  </si>
  <si>
    <t>فئة رئيسية + فرعية</t>
  </si>
  <si>
    <t>عدد الملفات</t>
  </si>
  <si>
    <t>65+</t>
  </si>
  <si>
    <t>في Google Apps Script</t>
  </si>
  <si>
    <t>🔗 روابط سريعة</t>
  </si>
  <si>
    <t>الخدمة</t>
  </si>
  <si>
    <t>الرابط</t>
  </si>
  <si>
    <t>Google Apps Script</t>
  </si>
  <si>
    <t>HTML Dashboard</t>
  </si>
  <si>
    <t>Telegram Bot</t>
  </si>
  <si>
    <t>الأدلة</t>
  </si>
  <si>
    <t>✔️ حالة النظام</t>
  </si>
  <si>
    <t>المكون</t>
  </si>
  <si>
    <t>آخر تحديث</t>
  </si>
  <si>
    <t>ملاحظات</t>
  </si>
  <si>
    <t>USER2</t>
  </si>
  <si>
    <t>🗑️ محذوف</t>
  </si>
  <si>
    <t>تم الحذف بنجاح</t>
  </si>
  <si>
    <t>USER1</t>
  </si>
  <si>
    <t>✅ نشط</t>
  </si>
  <si>
    <t>14 حساب مسجل</t>
  </si>
  <si>
    <t>Webhook مُعد</t>
  </si>
  <si>
    <t>جميع الصفحات جاهزة</t>
  </si>
  <si>
    <t>iPhone Shortcut</t>
  </si>
  <si>
    <t>⚠️ بحاجة اختبار</t>
  </si>
  <si>
    <t>جاهز للاختبار</t>
  </si>
  <si>
    <t>الاسم</t>
  </si>
  <si>
    <t>المبلغ</t>
  </si>
  <si>
    <t>نوع</t>
  </si>
  <si>
    <t>تاريخ</t>
  </si>
  <si>
    <t>Timestamp</t>
  </si>
  <si>
    <t>Total Tests</t>
  </si>
  <si>
    <t>Passed</t>
  </si>
  <si>
    <t>Failed</t>
  </si>
  <si>
    <t>Errors</t>
  </si>
  <si>
    <t>Details</t>
  </si>
  <si>
    <t>2026-01-24T17:26:48.767Z</t>
  </si>
  <si>
    <t>Settings: Missing required property: spreadsheetId | Settings Save/Load: Cannot set properties of undefined (setting 'language')</t>
  </si>
  <si>
    <t>{"settings":{"passed":false,"error":"Missing required property: spreadsheetId"},"settingsSaveLoad":{"passed":false,"error":"Cannot set properties of undefined (setting 'language')"},"index":{"passed":true},"features":{"passed":true},"onboarding":{"passed":true},"backend":{"passed":true}}</t>
  </si>
  <si>
    <t>2026-01-24T17:34:33.110Z</t>
  </si>
  <si>
    <t>ID</t>
  </si>
  <si>
    <t>المبلغ المستهدف</t>
  </si>
  <si>
    <t>المبلغ الحالي</t>
  </si>
  <si>
    <t>التقدم %</t>
  </si>
  <si>
    <t>الموعد النهائي</t>
  </si>
  <si>
    <t>المطلوب شهرياً</t>
  </si>
  <si>
    <t>الأولوية</t>
  </si>
  <si>
    <t>تاريخ الإنشاء</t>
  </si>
  <si>
    <t>المتجر</t>
  </si>
  <si>
    <t>التكرار</t>
  </si>
  <si>
    <t>آخر تاريخ</t>
  </si>
  <si>
    <t>التاريخ القادم</t>
  </si>
  <si>
    <t>النوع</t>
  </si>
  <si>
    <t>المفتاح</t>
  </si>
  <si>
    <t>achievements_unlocked</t>
  </si>
  <si>
    <t>2026-01-24T17:18:38.713Z</t>
  </si>
  <si>
    <t>budget_streak_days</t>
  </si>
  <si>
    <t>total_savings_sar</t>
  </si>
  <si>
    <t>notification_daily_insight</t>
  </si>
  <si>
    <t>notification_bill_reminders</t>
  </si>
  <si>
    <t>notification_achievements</t>
  </si>
  <si>
    <t>user_level</t>
  </si>
  <si>
    <t>total_transactions</t>
  </si>
  <si>
    <t>achievements</t>
  </si>
  <si>
    <t>STREAK_7,STREAK_30,STREAK_90,SAVE_1K,SAVE_5K,TXN_100,TXN_500</t>
  </si>
  <si>
    <t>الحساب</t>
  </si>
  <si>
    <t>الرصيد</t>
  </si>
  <si>
    <t>AlrajhiBank</t>
  </si>
  <si>
    <t>Tiqmo</t>
  </si>
  <si>
    <t>Alinma</t>
  </si>
  <si>
    <t>unknown</t>
  </si>
  <si>
    <t>Status</t>
  </si>
  <si>
    <t>Name</t>
  </si>
  <si>
    <t>Email</t>
  </si>
  <si>
    <t>Currency</t>
  </si>
  <si>
    <t>Language</t>
  </si>
  <si>
    <t>Salary_Day</t>
  </si>
  <si>
    <t>Notifications</t>
  </si>
  <si>
    <t>Auto_Apply_Rules</t>
  </si>
  <si>
    <t>Telegram_Notifications</t>
  </si>
  <si>
    <t>Budget_Alerts</t>
  </si>
  <si>
    <t>SETTINGS_SAVED</t>
  </si>
  <si>
    <t>shafi</t>
  </si>
  <si>
    <t>shaafi5000@gmail.com</t>
  </si>
  <si>
    <t>SAR</t>
  </si>
  <si>
    <t>ar</t>
  </si>
  <si>
    <t>UUID</t>
  </si>
  <si>
    <t>Date</t>
  </si>
  <si>
    <t>Tag</t>
  </si>
  <si>
    <t>Day</t>
  </si>
  <si>
    <t>Week</t>
  </si>
  <si>
    <t>Source</t>
  </si>
  <si>
    <t>AccNum</t>
  </si>
  <si>
    <t>CardNum</t>
  </si>
  <si>
    <t>Amount</t>
  </si>
  <si>
    <t>Merchant</t>
  </si>
  <si>
    <t>Category</t>
  </si>
  <si>
    <t>Type</t>
  </si>
  <si>
    <t>Raw</t>
  </si>
  <si>
    <t>TXN-MKOICHMM-C38A</t>
  </si>
  <si>
    <t>V120_AUTO</t>
  </si>
  <si>
    <t>الخميس</t>
  </si>
  <si>
    <t>TXN-MKOICHMM-BGDG</t>
  </si>
  <si>
    <t>TXN-MKOICHMM-66W5</t>
  </si>
  <si>
    <t>TXN-MKOICHMM-K92R</t>
  </si>
  <si>
    <t>TXN-MKOICHMM-5BC1</t>
  </si>
  <si>
    <t>TXN-MKOICHMM-3BK4</t>
  </si>
  <si>
    <t>TXN-MKOICHMM-30IK</t>
  </si>
  <si>
    <t>TXN-MKOICHMM-1UOK</t>
  </si>
  <si>
    <t>TXN-MKOICHMM-5DTT</t>
  </si>
  <si>
    <t>TXN-MKOICHMM-HOKG</t>
  </si>
  <si>
    <t>TXN-MKOICHMM-0P5F</t>
  </si>
  <si>
    <t>TXN-MKOICHMM-S31V</t>
  </si>
  <si>
    <t>TXN-MKOICHMM-WR0Q</t>
  </si>
  <si>
    <t>TXN-MKOICHMM-W2SB</t>
  </si>
  <si>
    <t>TXN-MKOICHMM-91QS</t>
  </si>
  <si>
    <t>TXN-MKOICHMM-W6ZW</t>
  </si>
  <si>
    <t>TXN-MKOICHMM-9GBO</t>
  </si>
  <si>
    <t>TXN-MKOICHMM-ED5P</t>
  </si>
  <si>
    <t>TXN-MKOICHMM-ORL2</t>
  </si>
  <si>
    <t>TXN-MKOICHMM-TG4F</t>
  </si>
  <si>
    <t>TXN-MKOICHMM-VO0Y</t>
  </si>
  <si>
    <t>TXN-MKOICHMM-BIX5</t>
  </si>
  <si>
    <t>TXN-MKOICHMM-GY3X</t>
  </si>
  <si>
    <t>TXN-MKOICHMM-T3JX</t>
  </si>
  <si>
    <t>TXN-MKOICHMM-89NA</t>
  </si>
  <si>
    <t>TXN-MKOICHMM-ZIRY</t>
  </si>
  <si>
    <t>TXN-MKOICHMM-NEY0</t>
  </si>
  <si>
    <t>TXN-MKOICHMM-AQ5O</t>
  </si>
  <si>
    <t>TXN-MKOICHMM-T0E9</t>
  </si>
  <si>
    <t>TXN-MKOICHMM-POPR</t>
  </si>
  <si>
    <t>TXN-MKOICHMM-X6HM</t>
  </si>
  <si>
    <t>TXN-MKOICHMM-MLX1</t>
  </si>
  <si>
    <t>TXN-MKOICHMM-PV03</t>
  </si>
  <si>
    <t>TXN-MKOICHMM-6KZO</t>
  </si>
  <si>
    <t>TXN-MKOICHMM-JMKM</t>
  </si>
  <si>
    <t>TXN-MKOICHMM-9NBS</t>
  </si>
  <si>
    <t>TXN-MKOICHMM-0KTX</t>
  </si>
  <si>
    <t>TXN-MKOICHMM-L1RB</t>
  </si>
  <si>
    <t>TXN-MKOICHMM-TRNN</t>
  </si>
  <si>
    <t>TXN-MKOICHMM-QUC0</t>
  </si>
  <si>
    <t>TXN-MKOICHMM-FW00</t>
  </si>
  <si>
    <t>TXN-MKOICHMM-GVNG</t>
  </si>
  <si>
    <t>TXN-MKOICHMM-9326</t>
  </si>
  <si>
    <t>TXN-MKOICHMM-W8TK</t>
  </si>
  <si>
    <t>TXN-MKOICHMM-PLM5</t>
  </si>
  <si>
    <t>TXN-MKOICHMM-XBU6</t>
  </si>
  <si>
    <t>TXN-MKOICHMM-QLBI</t>
  </si>
  <si>
    <t>TXN-MKOICHMM-7OOD</t>
  </si>
  <si>
    <t>TXN-MKOICHMM-Z9BE</t>
  </si>
  <si>
    <t>TXN-MKOICHMM-MT1E</t>
  </si>
  <si>
    <t>TXN-MKOICHMM-U2MU</t>
  </si>
  <si>
    <t>TXN-MKOICHMM-PXG2</t>
  </si>
  <si>
    <t>TXN-MKOICHMM-D8PY</t>
  </si>
  <si>
    <t>TXN-MKOICHMM-QDF0</t>
  </si>
  <si>
    <t>TXN-MKOICHMM-1P43</t>
  </si>
  <si>
    <t>TXN-MKOICHMM-IV2U</t>
  </si>
  <si>
    <t>TXN-MKOICHMM-LSGF</t>
  </si>
  <si>
    <t>TXN-MKOICHMM-USZN</t>
  </si>
  <si>
    <t>TXN-MKOICHMM-76CK</t>
  </si>
  <si>
    <t>TXN-MKOICHMM-3AM4</t>
  </si>
  <si>
    <t>TXN-MKOICHMM-ZXWO</t>
  </si>
  <si>
    <t>TXN-MKOICHMM-NVH2</t>
  </si>
  <si>
    <t>TXN-MKOICHMM-F7U9</t>
  </si>
  <si>
    <t>TXN-MKOICHMM-BMF8</t>
  </si>
  <si>
    <t>TXN-MKOICHMM-855M</t>
  </si>
  <si>
    <t>TXN-MKOICHMM-Y60O</t>
  </si>
  <si>
    <t>TXN-MKOICHMM-GUI6</t>
  </si>
  <si>
    <t>TXN-MKOICHMM-Q6RM</t>
  </si>
  <si>
    <t>TXN-MKOICHMM-O6UV</t>
  </si>
  <si>
    <t>TXN-MKOICHMM-L4VT</t>
  </si>
  <si>
    <t>TXN-MKOICHMM-RY8K</t>
  </si>
  <si>
    <t>TXN-MKOICHMM-AJS8</t>
  </si>
  <si>
    <t>TXN-MKOICHMM-3C3T</t>
  </si>
  <si>
    <t>TXN-MKOICHMM-SZWR</t>
  </si>
  <si>
    <t>TXN-MKOICHMM-BZ8A</t>
  </si>
  <si>
    <t>TXN-MKOICHMM-HIBZ</t>
  </si>
  <si>
    <t>TXN-MKOICHMM-U0V9</t>
  </si>
  <si>
    <t>TXN-MKOICHMM-A74W</t>
  </si>
  <si>
    <t>TXN-MKOICHMM-6EUG</t>
  </si>
  <si>
    <t>TXN-MKOICHMM-FJK1</t>
  </si>
  <si>
    <t>TXN-MKOICHMM-C87W</t>
  </si>
  <si>
    <t>TXN-MKOICHMN-KJFQ</t>
  </si>
  <si>
    <t>TXN-MKOICHMN-0M05</t>
  </si>
  <si>
    <t>TXN-MKOICHMN-WCV4</t>
  </si>
  <si>
    <t>TXN-MKOICHMN-9ZU2</t>
  </si>
  <si>
    <t>TXN-MKOICHMN-642T</t>
  </si>
  <si>
    <t>TXN-MKOICHMN-ZURU</t>
  </si>
  <si>
    <t>TXN-MKOICHMN-663M</t>
  </si>
  <si>
    <t>TXN-MKOICHMN-KO6V</t>
  </si>
  <si>
    <t>TXN-MKOICHMN-4NO7</t>
  </si>
  <si>
    <t>TXN-MKOICHMN-56SQ</t>
  </si>
  <si>
    <t>TXN-MKOICHMN-WRE2</t>
  </si>
  <si>
    <t>TXN-MKOICHMN-JEA9</t>
  </si>
  <si>
    <t>TXN-MKOICHMN-4PYA</t>
  </si>
  <si>
    <t>TXN-MKOICHMN-ZGAY</t>
  </si>
  <si>
    <t>TXN-MKOICHMN-7BTJ</t>
  </si>
  <si>
    <t>TXN-MKOICHMN-2JKX</t>
  </si>
  <si>
    <t>TXN-MKOICHMN-IEEU</t>
  </si>
  <si>
    <t>TXN-MKOICHMN-XUY3</t>
  </si>
  <si>
    <t>TXN-MKOICHMN-JZNY</t>
  </si>
  <si>
    <t>TXN-MKOICHMN-6T31</t>
  </si>
  <si>
    <t>TXN-MKOICHMN-SDXS</t>
  </si>
  <si>
    <t>TXN-MKOICHMN-8J3S</t>
  </si>
  <si>
    <t>TXN-MKOICHMN-G3D9</t>
  </si>
  <si>
    <t>TXN-MKOICHMN-80AA</t>
  </si>
  <si>
    <t>TXN-MKOICHMN-L7P3</t>
  </si>
  <si>
    <t>TXN-MKOICHMN-ULKH</t>
  </si>
  <si>
    <t>TXN-MKOICHMN-G61L</t>
  </si>
  <si>
    <t>TXN-MKOICHMN-BWAT</t>
  </si>
  <si>
    <t>TXN-MKOICHMN-1GHG</t>
  </si>
  <si>
    <t>TXN-MKOICHMN-DUJL</t>
  </si>
  <si>
    <t>TXN-MKOICHMN-FB64</t>
  </si>
  <si>
    <t>TXN-MKOICHMN-PNKU</t>
  </si>
  <si>
    <t>TXN-MKOICHMN-EQ4Z</t>
  </si>
  <si>
    <t>TXN-MKOICHMN-BENS</t>
  </si>
  <si>
    <t>TXN-MKOICHMN-V7GW</t>
  </si>
  <si>
    <t>TXN-MKOICHMN-1RV6</t>
  </si>
  <si>
    <t>TXN-MKOICHMN-RKAV</t>
  </si>
  <si>
    <t>TXN-MKOICHMN-2JXE</t>
  </si>
  <si>
    <t>TXN-MKOICHMN-P7NR</t>
  </si>
  <si>
    <t>TXN-MKOICHMN-5XCR</t>
  </si>
  <si>
    <t>TXN-MKOICHMN-7JBK</t>
  </si>
  <si>
    <t>TXN-MKOICHMN-FIKX</t>
  </si>
  <si>
    <t>TXN-MKOICHMN-RNJ3</t>
  </si>
  <si>
    <t>TXN-MKOICHMN-1I0Y</t>
  </si>
  <si>
    <t>TXN-MKOICHMN-FU1Z</t>
  </si>
  <si>
    <t>TXN-MKOICHMN-9O9L</t>
  </si>
  <si>
    <t>TXN-MKOICHMN-O5KU</t>
  </si>
  <si>
    <t>TXN-MKOICHMN-IQIL</t>
  </si>
  <si>
    <t>TXN-MKOICHMN-89O3</t>
  </si>
  <si>
    <t>TXN-MKOICHMN-PC15</t>
  </si>
  <si>
    <t>TXN-MKOICHMN-ADFM</t>
  </si>
  <si>
    <t>TXN-MKOICHMN-PLIS</t>
  </si>
  <si>
    <t>TXN-MKOICHMN-APEQ</t>
  </si>
  <si>
    <t>TXN-MKOICHMN-ZWD7</t>
  </si>
  <si>
    <t>TXN-MKOICHMN-EWL8</t>
  </si>
  <si>
    <t>TXN-MKOICHMN-7DM8</t>
  </si>
  <si>
    <t>TXN-MKOICHMN-FC3V</t>
  </si>
  <si>
    <t>TXN-MKOICHMN-R985</t>
  </si>
  <si>
    <t>TXN-MKOICHMN-F29G</t>
  </si>
  <si>
    <t>TXN-MKOICHMN-BVV6</t>
  </si>
  <si>
    <t>TXN-MKOICHMN-PW4Z</t>
  </si>
  <si>
    <t>TXN-MKOICHMN-APRK</t>
  </si>
  <si>
    <t>TXN-MKOICHMN-516W</t>
  </si>
  <si>
    <t>TXN-MKOICHMN-D8PI</t>
  </si>
  <si>
    <t>TXN-MKOICHMN-H7RE</t>
  </si>
  <si>
    <t>TXN-MKOICHMN-E9X0</t>
  </si>
  <si>
    <t>TXN-MKOICHMN-LH1E</t>
  </si>
  <si>
    <t>TXN-MKOICHMN-3VS9</t>
  </si>
  <si>
    <t>TXN-MKOICHMN-4AE3</t>
  </si>
  <si>
    <t>TXN-MKOICHMN-B5JM</t>
  </si>
  <si>
    <t>TXN-MKOICHMN-7AYB</t>
  </si>
  <si>
    <t>TXN-MKOICHMN-PUO7</t>
  </si>
  <si>
    <t>TXN-MKOICHMN-X9VT</t>
  </si>
  <si>
    <t>TXN-MKOICHMN-CLKG</t>
  </si>
  <si>
    <t>TXN-MKOICHMN-6XP3</t>
  </si>
  <si>
    <t>TXN-MKOICHMN-9BGH</t>
  </si>
  <si>
    <t>TXN-MKOICHMN-2JUP</t>
  </si>
  <si>
    <t>TXN-MKOICHMN-K9HM</t>
  </si>
  <si>
    <t>TXN-MKOICHMN-W8VY</t>
  </si>
  <si>
    <t>TXN-MKOICHMN-J469</t>
  </si>
  <si>
    <t>TXN-MKOICHMN-3QJE</t>
  </si>
  <si>
    <t>TXN-MKOICHMN-71AP</t>
  </si>
  <si>
    <t>TXN-MKOICHMN-UG4U</t>
  </si>
  <si>
    <t>TXN-MKOICHMN-1Q6Z</t>
  </si>
  <si>
    <t>TXN-MKOICHMN-UVOU</t>
  </si>
  <si>
    <t>TXN-MKOICHMN-1E7I</t>
  </si>
  <si>
    <t>TXN-MKOICHMN-L5TW</t>
  </si>
  <si>
    <t>TXN-MKOICHMN-HHIX</t>
  </si>
  <si>
    <t>TXN-MKOICHMN-UTHG</t>
  </si>
  <si>
    <t>TXN-MKOICHMN-DE5Y</t>
  </si>
  <si>
    <t>TXN-MKOICHMN-17PM</t>
  </si>
  <si>
    <t>TXN-MKOICHMN-JRQS</t>
  </si>
  <si>
    <t>TXN-MKOICHMN-A9UA</t>
  </si>
  <si>
    <t>TXN-MKOICHMN-DGMP</t>
  </si>
  <si>
    <t>TXN-MKOICHMN-J11K</t>
  </si>
  <si>
    <t>TXN-MKOICHMN-LPY7</t>
  </si>
  <si>
    <t>TXN-MKOICHMN-UE7R</t>
  </si>
  <si>
    <t>TXN-MKOICHMN-9J2P</t>
  </si>
  <si>
    <t>TXN-MKOICHMN-QXVQ</t>
  </si>
  <si>
    <t>TXN-MKOICHMN-DYLJ</t>
  </si>
  <si>
    <t>TXN-MKOICHMN-QAHW</t>
  </si>
  <si>
    <t>TXN-MKOICHMN-RSPB</t>
  </si>
  <si>
    <t>TXN-MKOICHMN-0B1A</t>
  </si>
  <si>
    <t>TXN-MKOICHMN-W70G</t>
  </si>
  <si>
    <t>TXN-MKOICHMN-BCF3</t>
  </si>
  <si>
    <t>TXN-MKOICHMN-J8OD</t>
  </si>
  <si>
    <t>TXN-MKOICHMN-6LJW</t>
  </si>
  <si>
    <t>TXN-MKOICHMN-KCR8</t>
  </si>
  <si>
    <t>TXN-MKOICHMN-SCQK</t>
  </si>
  <si>
    <t>TXN-MKOICHMN-WYGC</t>
  </si>
  <si>
    <t>TXN-MKOICHMN-VGOE</t>
  </si>
  <si>
    <t>TXN-MKOICHMN-B6RB</t>
  </si>
  <si>
    <t>TXN-MKOICHMN-HRYP</t>
  </si>
  <si>
    <t>TXN-MKOICHMN-8EW8</t>
  </si>
  <si>
    <t>TXN-MKOICHMN-MEBG</t>
  </si>
  <si>
    <t>TXN-MKOICHMN-E057</t>
  </si>
  <si>
    <t>TXN-MKOICHMN-AE6O</t>
  </si>
  <si>
    <t>TXN-MKOICHMN-1XJM</t>
  </si>
  <si>
    <t>TXN-MKOICHMN-TST1</t>
  </si>
  <si>
    <t>TXN-MKOICHMN-PJIE</t>
  </si>
  <si>
    <t>TXN-MKOICHMN-FP44</t>
  </si>
  <si>
    <t>TXN-MKOICHMN-HD18</t>
  </si>
  <si>
    <t>TXN-MKOICHMN-TIN7</t>
  </si>
  <si>
    <t>TXN-MKOICHMN-QEIP</t>
  </si>
  <si>
    <t>TXN-MKOICHMN-HIP6</t>
  </si>
  <si>
    <t>TXN-MKOICHMN-HBTS</t>
  </si>
  <si>
    <t>TXN-MKOICHMN-RREY</t>
  </si>
  <si>
    <t>TXN-MKOICHMN-IBTB</t>
  </si>
  <si>
    <t>TXN-MKOICHMN-TDOU</t>
  </si>
  <si>
    <t>TXN-MKOICHMN-TM1N</t>
  </si>
  <si>
    <t>TXN-MKOICHMN-AMC1</t>
  </si>
  <si>
    <t>TXN-MKOICHMN-UV0X</t>
  </si>
  <si>
    <t>TXN-MKOICHMN-NNR0</t>
  </si>
  <si>
    <t>TXN-MKOICHMN-0KAX</t>
  </si>
  <si>
    <t>TXN-MKOICHMN-00OJ</t>
  </si>
  <si>
    <t>TXN-MKOICHMN-M0YO</t>
  </si>
  <si>
    <t>TXN-MKOICHMN-EUHC</t>
  </si>
  <si>
    <t>TXN-MKOICHMN-XQZC</t>
  </si>
  <si>
    <t>TXN-MKOICHMN-X9E1</t>
  </si>
  <si>
    <t>TXN-MKOICHMN-ARJ5</t>
  </si>
  <si>
    <t>TXN-MKOICHMN-SWHQ</t>
  </si>
  <si>
    <t>TXN-MKOICHMN-K6SR</t>
  </si>
  <si>
    <t>TXN-MKOICHMN-157B</t>
  </si>
  <si>
    <t>TXN-MKOICHMN-Y0N8</t>
  </si>
  <si>
    <t>TXN-MKOICHMN-2SEF</t>
  </si>
  <si>
    <t>TXN-MKOICHMN-20ZW</t>
  </si>
  <si>
    <t>TXN-MKOICHMN-5WXS</t>
  </si>
  <si>
    <t>TXN-MKOICHMN-126Z</t>
  </si>
  <si>
    <t>TXN-MKOICHMN-RZ79</t>
  </si>
  <si>
    <t>TXN-MKOICHMN-J6EK</t>
  </si>
  <si>
    <t>TXN-MKOICHMN-U9N3</t>
  </si>
  <si>
    <t>TXN-MKOICHMN-NCFB</t>
  </si>
  <si>
    <t>TXN-MKOICHMN-304D</t>
  </si>
  <si>
    <t>TXN-MKOICHMN-BT68</t>
  </si>
  <si>
    <t>TXN-MKOICHMN-K94F</t>
  </si>
  <si>
    <t>TXN-MKOICHMN-D9IO</t>
  </si>
  <si>
    <t>TXN-MKOICHMN-UML1</t>
  </si>
  <si>
    <t>TXN-MKOICHMN-TW4W</t>
  </si>
  <si>
    <t>TXN-MKOICHMO-4I74</t>
  </si>
  <si>
    <t>TXN-MKOICHMO-VZ1R</t>
  </si>
  <si>
    <t>TXN-MKOICHMO-9OX1</t>
  </si>
  <si>
    <t>TXN-MKOICHMO-I38X</t>
  </si>
  <si>
    <t>TXN-MKOICHMO-SE9P</t>
  </si>
  <si>
    <t>TXN-MKOICHMO-2992</t>
  </si>
  <si>
    <t>TXN-MKOICHMO-HRAI</t>
  </si>
  <si>
    <t>TXN-MKOICHMO-2BOA</t>
  </si>
  <si>
    <t>TXN-MKOICHMO-AY3T</t>
  </si>
  <si>
    <t>TXN-MKOICHMO-77AL</t>
  </si>
  <si>
    <t>TXN-MKOICHMO-T1YM</t>
  </si>
  <si>
    <t>TXN-MKOICHMO-MLVX</t>
  </si>
  <si>
    <t>TXN-MKOICHMO-KEJ7</t>
  </si>
  <si>
    <t>TXN-MKOICHMO-ZRKO</t>
  </si>
  <si>
    <t>TXN-MKOICHMO-TS0X</t>
  </si>
  <si>
    <t>TXN-MKOICHMO-49ZH</t>
  </si>
  <si>
    <t>TXN-MKOICHMO-YLS7</t>
  </si>
  <si>
    <t>TXN-MKOICHMO-2MO1</t>
  </si>
  <si>
    <t>TXN-MKOICHMO-HNMZ</t>
  </si>
  <si>
    <t>TXN-MKOICHMO-YD4N</t>
  </si>
  <si>
    <t>TXN-MKOICHMO-G1CQ</t>
  </si>
  <si>
    <t>TXN-MKOICHMO-EZZ1</t>
  </si>
  <si>
    <t>TXN-MKOICHMO-2CSR</t>
  </si>
  <si>
    <t>TXN-MKOICHMO-ZJZE</t>
  </si>
  <si>
    <t>TXN-MKOICHMO-VC0D</t>
  </si>
  <si>
    <t>TXN-MKOICHMO-6O33</t>
  </si>
  <si>
    <t>TXN-MKOICHMO-SS3R</t>
  </si>
  <si>
    <t>TXN-MKOICHMO-CSLW</t>
  </si>
  <si>
    <t>TXN-MKOICHMO-K48N</t>
  </si>
  <si>
    <t>TXN-MKOICHMO-PDMT</t>
  </si>
  <si>
    <t>TXN-MKOICHMO-DP6U</t>
  </si>
  <si>
    <t>TXN-MKOICHMO-KFIO</t>
  </si>
  <si>
    <t>TXN-MKOICHMO-8LS2</t>
  </si>
  <si>
    <t>TXN-MKOICHMO-6ZJ6</t>
  </si>
  <si>
    <t>TXN-MKOICHMO-FPU0</t>
  </si>
  <si>
    <t>TXN-MKOICHMO-UYJS</t>
  </si>
  <si>
    <t>TXN-MKOICHMO-6LMY</t>
  </si>
  <si>
    <t>TXN-MKOICHMO-PUWB</t>
  </si>
  <si>
    <t>TXN-MKOICHMO-EUKO</t>
  </si>
  <si>
    <t>TXN-MKOICHMO-FN74</t>
  </si>
  <si>
    <t>TXN-MKOICHMO-SYM7</t>
  </si>
  <si>
    <t>TXN-MKOICHMO-NQJ1</t>
  </si>
  <si>
    <t>TXN-MKOICHMO-6NZ6</t>
  </si>
  <si>
    <t>TXN-MKOICHMO-SEY4</t>
  </si>
  <si>
    <t>TXN-MKOICHMO-E5M6</t>
  </si>
  <si>
    <t>TXN-MKOICHMO-XONZ</t>
  </si>
  <si>
    <t>TXN-MKOICHMO-W6M6</t>
  </si>
  <si>
    <t>TXN-MKOICHMO-Y15M</t>
  </si>
  <si>
    <t>TXN-MKOICHMO-QP20</t>
  </si>
  <si>
    <t>TXN-MKOICHMO-1K80</t>
  </si>
  <si>
    <t>TXN-MKOICHMO-7QD6</t>
  </si>
  <si>
    <t>TXN-MKOICHMO-4M1C</t>
  </si>
  <si>
    <t>TXN-MKOICHMO-VEFA</t>
  </si>
  <si>
    <t>TXN-MKOICHMO-5XBX</t>
  </si>
  <si>
    <t>TXN-MKOICHMO-VSAY</t>
  </si>
  <si>
    <t>TXN-MKOICHMO-D6WF</t>
  </si>
  <si>
    <t>TXN-MKOICHMO-6YA7</t>
  </si>
  <si>
    <t>TXN-MKOICHMO-1HM2</t>
  </si>
  <si>
    <t>TXN-MKOICHMO-50LK</t>
  </si>
  <si>
    <t>TXN-MKOICHMO-8VX1</t>
  </si>
  <si>
    <t>TXN-MKOICHMO-IC96</t>
  </si>
  <si>
    <t>TXN-MKOICHMO-CMKB</t>
  </si>
  <si>
    <t>TXN-MKOICHMO-ALPK</t>
  </si>
  <si>
    <t>TXN-MKOICHMO-Q8Q5</t>
  </si>
  <si>
    <t>TXN-MKOICHMO-W7T3</t>
  </si>
  <si>
    <t>TXN-MKOICHMO-E9HS</t>
  </si>
  <si>
    <t>TXN-MKOICHMO-8WN8</t>
  </si>
  <si>
    <t>TXN-MKOICHMO-B9JF</t>
  </si>
  <si>
    <t>TXN-MKOICHMO-GMFM</t>
  </si>
  <si>
    <t>TXN-MKOICHMO-WXTI</t>
  </si>
  <si>
    <t>TXN-MKOICHMO-BFU7</t>
  </si>
  <si>
    <t>TXN-MKOICHMO-SCK9</t>
  </si>
  <si>
    <t>TXN-MKOICHMO-ID6U</t>
  </si>
  <si>
    <t>TXN-MKOICHMO-UCYD</t>
  </si>
  <si>
    <t>TXN-MKOICHMO-GORL</t>
  </si>
  <si>
    <t>TXN-MKOICHMO-DQVA</t>
  </si>
  <si>
    <t>TXN-MKOICHMO-OR7H</t>
  </si>
  <si>
    <t>TXN-MKOICHMO-JLMJ</t>
  </si>
  <si>
    <t>TXN-MKOICHMO-SWM9</t>
  </si>
  <si>
    <t>TXN-MKOICHMO-APO7</t>
  </si>
  <si>
    <t>TXN-MKOICHMO-R5EJ</t>
  </si>
  <si>
    <t>TXN-MKOICHMO-ADVM</t>
  </si>
  <si>
    <t>TXN-MKOICHMO-6RWE</t>
  </si>
  <si>
    <t>TXN-MKOICHMO-FTV4</t>
  </si>
  <si>
    <t>TXN-MKOICHMO-FVDF</t>
  </si>
  <si>
    <t>TXN-MKOICHMO-XNQK</t>
  </si>
  <si>
    <t>TXN-MKOICHMO-IRVG</t>
  </si>
  <si>
    <t>TXN-MKOICHMO-AKYG</t>
  </si>
  <si>
    <t>TXN-MKOICHMO-N000</t>
  </si>
  <si>
    <t>TXN-MKOICHMO-UPIY</t>
  </si>
  <si>
    <t>TXN-MKOICHMO-GWG4</t>
  </si>
  <si>
    <t>TXN-MKOICHMO-J5V8</t>
  </si>
  <si>
    <t>TXN-MKOICHMO-7BPS</t>
  </si>
  <si>
    <t>TXN-MKOICHMO-6143</t>
  </si>
  <si>
    <t>TXN-MKOICHMO-H5MY</t>
  </si>
  <si>
    <t>TXN-MKOICHMO-8C97</t>
  </si>
  <si>
    <t>TXN-MKOICHMO-RXIN</t>
  </si>
  <si>
    <t>TXN-MKOICHMO-1EEI</t>
  </si>
  <si>
    <t>TXN-MKOICHMO-WEZR</t>
  </si>
  <si>
    <t>TXN-MKOICHMO-1DH1</t>
  </si>
  <si>
    <t>TXN-MKOICHMO-YJ3T</t>
  </si>
  <si>
    <t>TXN-MKOICHMO-AFMV</t>
  </si>
  <si>
    <t>TXN-MKOICHMO-44M0</t>
  </si>
  <si>
    <t>TXN-MKOICHMO-OWRM</t>
  </si>
  <si>
    <t>TXN-MKOICHMO-XH85</t>
  </si>
  <si>
    <t>TXN-MKOICHMO-GYU7</t>
  </si>
  <si>
    <t>TXN-MKOICHMO-WDIR</t>
  </si>
  <si>
    <t>TXN-MKOICHMO-7ZXK</t>
  </si>
  <si>
    <t>TXN-MKOICHMO-OTOR</t>
  </si>
  <si>
    <t>TXN-MKOICHMO-C03V</t>
  </si>
  <si>
    <t>TXN-MKOICHMO-W37V</t>
  </si>
  <si>
    <t>TXN-MKOICHMO-SXPE</t>
  </si>
  <si>
    <t>TXN-MKOICHMO-SJTW</t>
  </si>
  <si>
    <t>TXN-MKOICHMO-DON5</t>
  </si>
  <si>
    <t>TXN-MKOICHMO-62XW</t>
  </si>
  <si>
    <t>TXN-MKOICHMO-0FHH</t>
  </si>
  <si>
    <t>TXN-MKOICHMO-7G12</t>
  </si>
  <si>
    <t>TXN-MKOICHMO-PESK</t>
  </si>
  <si>
    <t>TXN-MKOICHMO-L14O</t>
  </si>
  <si>
    <t>TXN-MKOICHMO-74YG</t>
  </si>
  <si>
    <t>TXN-MKOICHMO-NFKU</t>
  </si>
  <si>
    <t>TXN-MKOICHMO-ETUS</t>
  </si>
  <si>
    <t>TXN-MKOICHMO-JBWF</t>
  </si>
  <si>
    <t>TXN-MKOICHMO-ZTE7</t>
  </si>
  <si>
    <t>TXN-MKOICHMO-89Y0</t>
  </si>
  <si>
    <t>TXN-MKOICHMO-B7CX</t>
  </si>
  <si>
    <t>TXN-MKOICHMO-YTH7</t>
  </si>
  <si>
    <t>TXN-MKOICHMO-LGL8</t>
  </si>
  <si>
    <t>TXN-MKOICHMO-8W15</t>
  </si>
  <si>
    <t>TXN-MKOICHMO-05JR</t>
  </si>
  <si>
    <t>TXN-MKOICHMO-CMZ7</t>
  </si>
  <si>
    <t>TXN-MKOICHMO-283P</t>
  </si>
  <si>
    <t>TXN-MKOICHMO-RHU5</t>
  </si>
  <si>
    <t>TXN-MKOICHMO-1XNI</t>
  </si>
  <si>
    <t>TXN-MKOICHMO-7QR0</t>
  </si>
  <si>
    <t>TXN-MKOICHMO-5XE7</t>
  </si>
  <si>
    <t>TXN-MKOICHMO-PA6C</t>
  </si>
  <si>
    <t>TXN-MKOICHMO-5CT6</t>
  </si>
  <si>
    <t>TXN-MKOICHMO-6DLC</t>
  </si>
  <si>
    <t>TXN-MKOICHMO-FJTT</t>
  </si>
  <si>
    <t>TXN-MKOICHMO-C825</t>
  </si>
  <si>
    <t>TXN-MKOICHMO-XNMH</t>
  </si>
  <si>
    <t>TXN-MKOICHMO-6Z0A</t>
  </si>
  <si>
    <t>TXN-MKOICHMO-QPNP</t>
  </si>
  <si>
    <t>TXN-MKOICHMO-W6W3</t>
  </si>
  <si>
    <t>TXN-MKOICHMO-QP8O</t>
  </si>
  <si>
    <t>TXN-MKOICHMO-AKVB</t>
  </si>
  <si>
    <t>TXN-MKOICHMO-Y2K3</t>
  </si>
  <si>
    <t>TXN-MKOICHMO-B6FK</t>
  </si>
  <si>
    <t>TXN-MKOICHMO-W82R</t>
  </si>
  <si>
    <t>TXN-MKOICHMO-TTDF</t>
  </si>
  <si>
    <t>TXN-MKOICHMO-0QOQ</t>
  </si>
  <si>
    <t>TXN-MKOICHMO-MPN8</t>
  </si>
  <si>
    <t>TXN-MKOICHMO-HYPF</t>
  </si>
  <si>
    <t>TXN-MKOICHMO-O2I2</t>
  </si>
  <si>
    <t>TXN-MKOICHMO-8Q3X</t>
  </si>
  <si>
    <t>TXN-MKOICHMO-1GJ5</t>
  </si>
  <si>
    <t>TXN-MKOICHMO-SV79</t>
  </si>
  <si>
    <t>TXN-MKOICHMP-0CAQ</t>
  </si>
  <si>
    <t>TXN-MKOICHMP-G9PI</t>
  </si>
  <si>
    <t>TXN-MKOICHMP-O2HW</t>
  </si>
  <si>
    <t>TXN-MKOICHMP-JSE6</t>
  </si>
  <si>
    <t>TXN-MKOICHMP-U6NO</t>
  </si>
  <si>
    <t>TXN-MKOICHMP-47Z7</t>
  </si>
  <si>
    <t>TXN-MKOICHMP-H3RB</t>
  </si>
  <si>
    <t>TXN-MKOICHMP-XVDO</t>
  </si>
  <si>
    <t>TXN-MKOICHMP-0WVS</t>
  </si>
  <si>
    <t>TXN-MKOICHMP-1KW0</t>
  </si>
  <si>
    <t>TXN-MKOICHMP-AO60</t>
  </si>
  <si>
    <t>TXN-MKOICHMP-P6L5</t>
  </si>
  <si>
    <t>TXN-MKOICHMP-N9PK</t>
  </si>
  <si>
    <t>TXN-MKOICHMP-RKNU</t>
  </si>
  <si>
    <t>TXN-MKOICHMP-01MD</t>
  </si>
  <si>
    <t>TXN-MKOICHMP-2QIG</t>
  </si>
  <si>
    <t>TXN-MKOICHMP-G43R</t>
  </si>
  <si>
    <t>TXN-MKOICHMP-4K4A</t>
  </si>
  <si>
    <t>TXN-MKOICHMP-F58H</t>
  </si>
  <si>
    <t>TXN-MKOICHMP-RWYO</t>
  </si>
  <si>
    <t>TXN-MKOICHMP-QG4U</t>
  </si>
  <si>
    <t>TXN-MKOICHMP-1PQR</t>
  </si>
  <si>
    <t>TXN-MKOICHMP-192P</t>
  </si>
  <si>
    <t>TXN-MKOICHMP-B0YJ</t>
  </si>
  <si>
    <t>TXN-MKOICHMP-ZLHP</t>
  </si>
  <si>
    <t>TXN-MKOICHMP-OS3O</t>
  </si>
  <si>
    <t>TXN-MKOICHMP-78JC</t>
  </si>
  <si>
    <t>TXN-MKOICHMP-E0PQ</t>
  </si>
  <si>
    <t>TXN-MKOICHMP-VN6X</t>
  </si>
  <si>
    <t>TXN-MKOICHMP-9BGS</t>
  </si>
  <si>
    <t>TXN-MKOICHMP-27NG</t>
  </si>
  <si>
    <t>TXN-MKOICHMP-P2KS</t>
  </si>
  <si>
    <t>TXN-MKOICHMP-D38A</t>
  </si>
  <si>
    <t>TXN-MKOICHMP-3KX9</t>
  </si>
  <si>
    <t>TXN-MKOICHMP-9XPX</t>
  </si>
  <si>
    <t>TXN-MKOICHN8-9RZQ</t>
  </si>
  <si>
    <t>TXN-MKOICHN8-EKPB</t>
  </si>
  <si>
    <t>TXN-MKOICHN8-YVJG</t>
  </si>
  <si>
    <t>TXN-MKOICHN8-T7D2</t>
  </si>
  <si>
    <t>TXN-MKOICHN8-7ZQE</t>
  </si>
  <si>
    <t>TXN-MKOICHN8-KBM4</t>
  </si>
  <si>
    <t>TXN-MKOICHN8-DC1M</t>
  </si>
  <si>
    <t>TXN-MKOICHN8-J0C1</t>
  </si>
  <si>
    <t>TXN-MKOICHN8-ELI3</t>
  </si>
  <si>
    <t>TXN-MKOICHN8-ZDGZ</t>
  </si>
  <si>
    <t>TXN-MKOICHN8-LNDG</t>
  </si>
  <si>
    <t>TXN-MKOICHN8-0RGN</t>
  </si>
  <si>
    <t>TXN-MKOICHN8-7MNY</t>
  </si>
  <si>
    <t>TXN-MKOICHN8-DZ2D</t>
  </si>
  <si>
    <t>TXN-MKOICHN8-Q4UC</t>
  </si>
  <si>
    <t>TXN-MKOICHN8-OAJD</t>
  </si>
  <si>
    <t>TXN-MKOICHN8-JYU6</t>
  </si>
  <si>
    <t>TXN-MKOICHN8-9B4Z</t>
  </si>
  <si>
    <t>TXN-MKOICHN8-Z75M</t>
  </si>
  <si>
    <t>TXN-MKOICHN8-XLC6</t>
  </si>
  <si>
    <t>TXN-MKOICHN8-40FM</t>
  </si>
  <si>
    <t>TXN-MKOICHN8-SPMZ</t>
  </si>
  <si>
    <t>TXN-MKOICHN8-8QGC</t>
  </si>
  <si>
    <t>TXN-MKOICHN8-YLX6</t>
  </si>
  <si>
    <t>TXN-MKOICHN8-GLEF</t>
  </si>
  <si>
    <t>TXN-MKOICHN8-DJ2R</t>
  </si>
  <si>
    <t>TXN-MKOICHN8-GBHK</t>
  </si>
  <si>
    <t>TXN-MKOICHN8-C8PZ</t>
  </si>
  <si>
    <t>TXN-MKOICHN8-MY8R</t>
  </si>
  <si>
    <t>TXN-MKOICHN8-H7SA</t>
  </si>
  <si>
    <t>TXN-MKOICHN8-XBHS</t>
  </si>
  <si>
    <t>TXN-MKOICHN8-G574</t>
  </si>
  <si>
    <t>TXN-MKOICHN8-YWJC</t>
  </si>
  <si>
    <t>TXN-MKOICHN8-M4IQ</t>
  </si>
  <si>
    <t>TXN-MKOICHN8-ZSBE</t>
  </si>
  <si>
    <t>TXN-MKOICHN8-G073</t>
  </si>
  <si>
    <t>TXN-MKOICHN8-HTDY</t>
  </si>
  <si>
    <t>TXN-MKOICHN8-38XB</t>
  </si>
  <si>
    <t>TXN-MKOICHN8-JLYZ</t>
  </si>
  <si>
    <t>TXN-MKOICHN8-CTAO</t>
  </si>
  <si>
    <t>TXN-MKOICHN8-1ABV</t>
  </si>
  <si>
    <t>TXN-MKOICHN8-IXGD</t>
  </si>
  <si>
    <t>TXN-MKOICHN8-TSKT</t>
  </si>
  <si>
    <t>TXN-MKOICHN8-VO1C</t>
  </si>
  <si>
    <t>TXN-MKOICHN8-AHUB</t>
  </si>
  <si>
    <t>TXN-MKOICHN8-IPY1</t>
  </si>
  <si>
    <t>TXN-MKOICHN8-FNV0</t>
  </si>
  <si>
    <t>TXN-MKOICHN8-UGET</t>
  </si>
  <si>
    <t>TXN-MKOICHN8-ETF4</t>
  </si>
  <si>
    <t>TXN-MKOICHN8-OOJV</t>
  </si>
  <si>
    <t>TXN-MKOICHN8-4EUR</t>
  </si>
  <si>
    <t>TXN-MKOICHN8-6KE8</t>
  </si>
  <si>
    <t>TXN-MKOICHN8-XDHO</t>
  </si>
  <si>
    <t>TXN-MKOICHN8-DRTV</t>
  </si>
  <si>
    <t>TXN-MKOICHN8-ZMVQ</t>
  </si>
  <si>
    <t>TXN-MKOICHN8-YDIX</t>
  </si>
  <si>
    <t>TXN-MKOICHN8-M0AV</t>
  </si>
  <si>
    <t>TXN-MKOICHN8-IN3U</t>
  </si>
  <si>
    <t>TXN-MKOICHN8-OOPC</t>
  </si>
  <si>
    <t>TXN-MKOICHN8-X42B</t>
  </si>
  <si>
    <t>TXN-MKOICHN8-0CZ5</t>
  </si>
  <si>
    <t>TXN-MKOICHN8-C47X</t>
  </si>
  <si>
    <t>TXN-MKOICHN8-HRWW</t>
  </si>
  <si>
    <t>TXN-MKOICHN8-QXGY</t>
  </si>
  <si>
    <t>TXN-MKOICHN8-55AW</t>
  </si>
  <si>
    <t>TXN-MKOICHN8-TXQK</t>
  </si>
  <si>
    <t>TXN-MKOICHN8-GK6V</t>
  </si>
  <si>
    <t>TXN-MKOICHN8-D1D2</t>
  </si>
  <si>
    <t>TXN-MKOICHN8-WLCV</t>
  </si>
  <si>
    <t>TXN-MKOICHN8-Z6WP</t>
  </si>
  <si>
    <t>TXN-MKOICHN8-JDR6</t>
  </si>
  <si>
    <t>TXN-MKOICHN8-SR96</t>
  </si>
  <si>
    <t>TXN-MKOICHN8-GCEC</t>
  </si>
  <si>
    <t>TXN-MKOICHN8-NSEV</t>
  </si>
  <si>
    <t>TXN-MKOICHN8-5EVM</t>
  </si>
  <si>
    <t>TXN-MKOICHN8-T83A</t>
  </si>
  <si>
    <t>TXN-MKOICHN8-KJ9M</t>
  </si>
  <si>
    <t>TXN-MKOICHN8-XAMW</t>
  </si>
  <si>
    <t>TXN-MKOICHN8-VL6D</t>
  </si>
  <si>
    <t>TXN-MKOICHN9-H60K</t>
  </si>
  <si>
    <t>TXN-MKOICHN9-ON5W</t>
  </si>
  <si>
    <t>TXN-MKOICHN9-CG43</t>
  </si>
  <si>
    <t>TXN-MKOICHN9-X330</t>
  </si>
  <si>
    <t>TXN-MKOICHN9-1Y9M</t>
  </si>
  <si>
    <t>TXN-MKOICHN9-0XOO</t>
  </si>
  <si>
    <t>TXN-MKOICHN9-KGQU</t>
  </si>
  <si>
    <t>TXN-MKOICHN9-28IA</t>
  </si>
  <si>
    <t>TXN-MKOICHN9-WUMS</t>
  </si>
  <si>
    <t>TXN-MKOICHN9-77RU</t>
  </si>
  <si>
    <t>TXN-MKOICHN9-ZMWO</t>
  </si>
  <si>
    <t>TXN-MKOICHN9-TOZD</t>
  </si>
  <si>
    <t>TXN-MKOICHN9-CR00</t>
  </si>
  <si>
    <t>TXN-MKOICHN9-LEOI</t>
  </si>
  <si>
    <t>TXN-MKOICHN9-5DSC</t>
  </si>
  <si>
    <t>TXN-MKOICHN9-J82Z</t>
  </si>
  <si>
    <t>TXN-MKOICHN9-LO6K</t>
  </si>
  <si>
    <t>TXN-MKOICHN9-PJQR</t>
  </si>
  <si>
    <t>TXN-MKOICHN9-ETQ2</t>
  </si>
  <si>
    <t>TXN-MKOICHN9-SQSX</t>
  </si>
  <si>
    <t>TXN-MKOICHN9-LFSK</t>
  </si>
  <si>
    <t>TXN-MKOICHN9-020E</t>
  </si>
  <si>
    <t>TXN-MKOICHN9-DQUZ</t>
  </si>
  <si>
    <t>TXN-MKOICHN9-P2IC</t>
  </si>
  <si>
    <t>TXN-MKOICHN9-MXO6</t>
  </si>
  <si>
    <t>TXN-MKOICHN9-EGMA</t>
  </si>
  <si>
    <t>TXN-MKOICHN9-8O3C</t>
  </si>
  <si>
    <t>TXN-MKOICHN9-5J50</t>
  </si>
  <si>
    <t>TXN-MKOICHN9-GO9L</t>
  </si>
  <si>
    <t>TXN-MKOICHN9-FNTO</t>
  </si>
  <si>
    <t>TXN-MKOICHN9-VX32</t>
  </si>
  <si>
    <t>TXN-MKOICHN9-EF3Q</t>
  </si>
  <si>
    <t>TXN-MKOICHN9-6P89</t>
  </si>
  <si>
    <t>TXN-MKOICHN9-ILL8</t>
  </si>
  <si>
    <t>TXN-MKOICHNC-S376</t>
  </si>
  <si>
    <t>TXN-MKOICHNC-0S3L</t>
  </si>
  <si>
    <t>TXN-MKOICHNC-0GUZ</t>
  </si>
  <si>
    <t>TXN-MKOICHNC-P0L9</t>
  </si>
  <si>
    <t>TXN-MKOICHNC-BPKH</t>
  </si>
  <si>
    <t>TXN-MKOICHNC-MCYJ</t>
  </si>
  <si>
    <t>TXN-MKOICHNC-DBFQ</t>
  </si>
  <si>
    <t>TXN-MKOICHNC-ALLE</t>
  </si>
  <si>
    <t>TXN-MKOICHNC-Q7G7</t>
  </si>
  <si>
    <t>TXN-MKOICHNC-TF86</t>
  </si>
  <si>
    <t>TXN-MKOICHNC-7PFX</t>
  </si>
  <si>
    <t>TXN-MKOICHNC-EMM4</t>
  </si>
  <si>
    <t>TXN-MKOICHNC-NMKB</t>
  </si>
  <si>
    <t>TXN-MKOICHNC-07J9</t>
  </si>
  <si>
    <t>TXN-MKOICHNC-J7B6</t>
  </si>
  <si>
    <t>TXN-MKOICHNC-YIG4</t>
  </si>
  <si>
    <t>TXN-MKOICHNC-VGAQ</t>
  </si>
  <si>
    <t>TXN-MKOICHNC-JGN0</t>
  </si>
  <si>
    <t>TXN-MKOICHNC-53ZN</t>
  </si>
  <si>
    <t>TXN-MKOICHNC-NRHP</t>
  </si>
  <si>
    <t>TXN-MKOICHNC-Z7OC</t>
  </si>
  <si>
    <t>TXN-MKOICHNC-CEIJ</t>
  </si>
  <si>
    <t>TXN-MKOICHNC-B4X2</t>
  </si>
  <si>
    <t>TXN-MKOICHNC-XJEX</t>
  </si>
  <si>
    <t>TXN-MKOICHNC-YBI4</t>
  </si>
  <si>
    <t>TXN-MKOICHNC-MUOO</t>
  </si>
  <si>
    <t>TXN-MKOICHND-MU0N</t>
  </si>
  <si>
    <t>TXN-MKOICHND-HZEF</t>
  </si>
  <si>
    <t>TXN-MKOICHND-5AZY</t>
  </si>
  <si>
    <t>TXN-MKOICHND-K7HQ</t>
  </si>
  <si>
    <t>TXN-MKOICHND-RKB8</t>
  </si>
  <si>
    <t>TXN-MKOICHND-4VSL</t>
  </si>
  <si>
    <t>TXN-MKOICHND-PZMK</t>
  </si>
  <si>
    <t>TXN-MKOICHND-M1JF</t>
  </si>
  <si>
    <t>TXN-MKOICHND-DQOV</t>
  </si>
  <si>
    <t>TXN-MKOICHND-1SHA</t>
  </si>
  <si>
    <t>TXN-MKOICHND-QHKS</t>
  </si>
  <si>
    <t>TXN-MKOICHND-SRQ8</t>
  </si>
  <si>
    <t>TXN-MKOICHND-XAUG</t>
  </si>
  <si>
    <t>TXN-MKOICHND-P5FR</t>
  </si>
  <si>
    <t>TXN-MKOICHND-GRDV</t>
  </si>
  <si>
    <t>TXN-MKOICHND-X10J</t>
  </si>
  <si>
    <t>TXN-MKOICHND-EBS1</t>
  </si>
  <si>
    <t>TXN-MKOICHND-532W</t>
  </si>
  <si>
    <t>TXN-MKOICHND-21D2</t>
  </si>
  <si>
    <t>TXN-MKOICHND-VPU2</t>
  </si>
  <si>
    <t>TXN-MKOICHND-ATYE</t>
  </si>
  <si>
    <t>TXN-MKOICHND-Y0IF</t>
  </si>
  <si>
    <t>TXN-MKOICHND-LG2S</t>
  </si>
  <si>
    <t>TXN-MKOICHND-JUO4</t>
  </si>
  <si>
    <t>TXN-MKOICHND-NZKC</t>
  </si>
  <si>
    <t>TXN-MKOICHND-7KAB</t>
  </si>
  <si>
    <t>TXN-MKOICHND-61NL</t>
  </si>
  <si>
    <t>TXN-MKOICHND-7EU1</t>
  </si>
  <si>
    <t>TXN-MKOICHND-DIK5</t>
  </si>
  <si>
    <t>TXN-MKOICHND-8YN6</t>
  </si>
  <si>
    <t>TXN-MKOICHND-LJS8</t>
  </si>
  <si>
    <t>TXN-MKOICHND-R42P</t>
  </si>
  <si>
    <t>TXN-MKOICHND-85KV</t>
  </si>
  <si>
    <t>TXN-MKOICHND-ELLK</t>
  </si>
  <si>
    <t>TXN-MKOICHND-H065</t>
  </si>
  <si>
    <t>TXN-MKOICHND-W4O4</t>
  </si>
  <si>
    <t>TXN-MKOICHND-CVCD</t>
  </si>
  <si>
    <t>TXN-MKOICHND-VZ72</t>
  </si>
  <si>
    <t>TXN-MKOICHND-ZD51</t>
  </si>
  <si>
    <t>TXN-MKOICHND-ZMUY</t>
  </si>
  <si>
    <t>TXN-MKOICHND-BED2</t>
  </si>
  <si>
    <t>TXN-MKOICHND-Y60V</t>
  </si>
  <si>
    <t>TXN-MKOICHND-FBBQ</t>
  </si>
  <si>
    <t>TXN-MKOICHND-SM3V</t>
  </si>
  <si>
    <t>TXN-MKOICHND-G2BW</t>
  </si>
  <si>
    <t>TXN-MKOICHND-F94H</t>
  </si>
  <si>
    <t>TXN-MKOICHND-5W6W</t>
  </si>
  <si>
    <t>TXN-MKOICHND-S8L0</t>
  </si>
  <si>
    <t>TXN-MKOICHND-W6K0</t>
  </si>
  <si>
    <t>TXN-MKOICHND-14QY</t>
  </si>
  <si>
    <t>TXN-MKOICHND-F7C9</t>
  </si>
  <si>
    <t>TXN-MKOICHND-HA3A</t>
  </si>
  <si>
    <t>TXN-MKOICHND-529P</t>
  </si>
  <si>
    <t>TXN-MKOICHND-KW6Q</t>
  </si>
  <si>
    <t>TXN-MKOICHND-W3R1</t>
  </si>
  <si>
    <t>TXN-MKOICHND-TPEO</t>
  </si>
  <si>
    <t>TXN-MKOICHND-JRR7</t>
  </si>
  <si>
    <t>TXN-MKOICHND-61SC</t>
  </si>
  <si>
    <t>TXN-MKOICHND-59N8</t>
  </si>
  <si>
    <t>TXN-MKOICHND-HNOP</t>
  </si>
  <si>
    <t>TXN-MKOICHND-56LG</t>
  </si>
  <si>
    <t>TXN-MKOICHND-BLGD</t>
  </si>
  <si>
    <t>TXN-MKOICHND-UMFB</t>
  </si>
  <si>
    <t>TXN-MKOICHND-XZF4</t>
  </si>
  <si>
    <t>TXN-MKOICHND-49C4</t>
  </si>
  <si>
    <t>TXN-MKOICHND-WUT9</t>
  </si>
  <si>
    <t>TXN-MKOICHND-4EAW</t>
  </si>
  <si>
    <t>TXN-MKOICHND-RC58</t>
  </si>
  <si>
    <t>TXN-MKOICHND-RL9P</t>
  </si>
  <si>
    <t>TXN-MKOICHND-SCNZ</t>
  </si>
  <si>
    <t>TXN-MKOICHND-Y1GD</t>
  </si>
  <si>
    <t>TXN-MKOICHND-DEU7</t>
  </si>
  <si>
    <t>TXN-MKOICHND-TIWF</t>
  </si>
  <si>
    <t>TXN-MKOICHND-00YQ</t>
  </si>
  <si>
    <t>TXN-MKOICHND-VOU2</t>
  </si>
  <si>
    <t>TXN-MKOICHND-K9AZ</t>
  </si>
  <si>
    <t>TXN-MKOICHND-Y98K</t>
  </si>
  <si>
    <t>TXN-MKOICHND-2DL6</t>
  </si>
  <si>
    <t>TXN-MKOICHND-GK08</t>
  </si>
  <si>
    <t>TXN-MKOICHND-9RXM</t>
  </si>
  <si>
    <t>TXN-MKOICHND-1XW5</t>
  </si>
  <si>
    <t>TXN-MKOICHND-3SLK</t>
  </si>
  <si>
    <t>TXN-MKOICHND-GPYH</t>
  </si>
  <si>
    <t>TXN-MKOICHND-FJ31</t>
  </si>
  <si>
    <t>TXN-MKOICHND-TBHC</t>
  </si>
  <si>
    <t>TXN-MKOICHND-IMA0</t>
  </si>
  <si>
    <t>TXN-MKOICHND-9BZP</t>
  </si>
  <si>
    <t>TXN-MKOICHND-59VQ</t>
  </si>
  <si>
    <t>TXN-MKOICHND-T2A7</t>
  </si>
  <si>
    <t>TXN-MKOICHND-CW39</t>
  </si>
  <si>
    <t>TXN-MKOICHND-CB93</t>
  </si>
  <si>
    <t>TXN-MKOICHND-5IUT</t>
  </si>
  <si>
    <t>TXN-MKOICHND-423X</t>
  </si>
  <si>
    <t>TXN-MKOICHND-3NXM</t>
  </si>
  <si>
    <t>TXN-MKOICHND-NHNT</t>
  </si>
  <si>
    <t>TXN-MKOICHND-9V2C</t>
  </si>
  <si>
    <t>TXN-MKOICHND-R5Y4</t>
  </si>
  <si>
    <t>TXN-MKOICHND-2JC7</t>
  </si>
  <si>
    <t>TXN-MKOICHND-9MMK</t>
  </si>
  <si>
    <t>TXN-MKOICHND-U997</t>
  </si>
  <si>
    <t>TXN-MKOICHND-SVVF</t>
  </si>
  <si>
    <t>TXN-MKOICHND-KF56</t>
  </si>
  <si>
    <t>TXN-MKOICHND-C4KZ</t>
  </si>
  <si>
    <t>TXN-MKOICHND-MOAY</t>
  </si>
  <si>
    <t>TXN-MKOICHND-2DK4</t>
  </si>
  <si>
    <t>TXN-MKOICHND-Z5QS</t>
  </si>
  <si>
    <t>TXN-MKOICHND-CEBX</t>
  </si>
  <si>
    <t>TXN-MKOICHND-F6CX</t>
  </si>
  <si>
    <t>TXN-MKOICHND-D2R9</t>
  </si>
  <si>
    <t>TXN-MKOICHND-E4EM</t>
  </si>
  <si>
    <t>TXN-MKOICHND-9ME3</t>
  </si>
  <si>
    <t>TXN-MKOICHND-1T64</t>
  </si>
  <si>
    <t>TXN-MKOICHND-9FGZ</t>
  </si>
  <si>
    <t>TXN-MKOICHND-YV8W</t>
  </si>
  <si>
    <t>TXN-MKOICHND-6PRS</t>
  </si>
  <si>
    <t>TXN-MKOICHND-84CR</t>
  </si>
  <si>
    <t>TXN-MKOICHND-WVZK</t>
  </si>
  <si>
    <t>TXN-MKOICHND-DOI2</t>
  </si>
  <si>
    <t>TXN-MKOICHND-Y59Q</t>
  </si>
  <si>
    <t>TXN-MKOICHND-IZJV</t>
  </si>
  <si>
    <t>TXN-MKOICHND-6DG9</t>
  </si>
  <si>
    <t>TXN-MKOICHND-BNGA</t>
  </si>
  <si>
    <t>TXN-MKOICHND-SNC1</t>
  </si>
  <si>
    <t>TXN-MKOICHND-WHHI</t>
  </si>
  <si>
    <t>TXN-MKOICHND-PXIC</t>
  </si>
  <si>
    <t>TXN-MKOICHND-NEGK</t>
  </si>
  <si>
    <t>TXN-MKOICHND-W0QY</t>
  </si>
  <si>
    <t>TXN-MKOICHND-F419</t>
  </si>
  <si>
    <t>TXN-MKOICHND-7ECF</t>
  </si>
  <si>
    <t>TXN-MKOICHND-OFVH</t>
  </si>
  <si>
    <t>TXN-MKOICHND-SQB4</t>
  </si>
  <si>
    <t>TXN-MKOICHND-EK90</t>
  </si>
  <si>
    <t>TXN-MKOICHND-U16E</t>
  </si>
  <si>
    <t>TXN-MKOICHND-3644</t>
  </si>
  <si>
    <t>TXN-MKOICHND-R8VX</t>
  </si>
  <si>
    <t>TXN-MKOICHND-6IHQ</t>
  </si>
  <si>
    <t>TXN-MKOICHND-RNBC</t>
  </si>
  <si>
    <t>TXN-MKOICHND-II3U</t>
  </si>
  <si>
    <t>TXN-MKOICHND-MUHK</t>
  </si>
  <si>
    <t>TXN-MKOICHND-23E3</t>
  </si>
  <si>
    <t>TXN-MKOICHND-MR3R</t>
  </si>
  <si>
    <t>TXN-MKOICHND-4VRY</t>
  </si>
  <si>
    <t>TXN-MKOICHND-L5H8</t>
  </si>
  <si>
    <t>TXN-MKOICHND-O7PL</t>
  </si>
  <si>
    <t>TXN-MKOICHND-6F5S</t>
  </si>
  <si>
    <t>TXN-MKOICHND-MO99</t>
  </si>
  <si>
    <t>TXN-MKOICHND-2B3K</t>
  </si>
  <si>
    <t>TXN-MKOICHND-AKJT</t>
  </si>
  <si>
    <t>TXN-MKOICHND-FR9D</t>
  </si>
  <si>
    <t>TXN-MKOICHND-JKOH</t>
  </si>
  <si>
    <t>TXN-MKOICHND-MXEH</t>
  </si>
  <si>
    <t>TXN-MKOICHND-U4LG</t>
  </si>
  <si>
    <t>TXN-MKOICHND-DPYY</t>
  </si>
  <si>
    <t>TXN-MKOICHND-H782</t>
  </si>
  <si>
    <t>TXN-MKOICHND-CLH4</t>
  </si>
  <si>
    <t>TXN-MKOICHND-W8R0</t>
  </si>
  <si>
    <t>TXN-MKOICHND-CW0Q</t>
  </si>
  <si>
    <t>TXN-MKOICHND-6IJX</t>
  </si>
  <si>
    <t>TXN-MKOICHND-5LPH</t>
  </si>
  <si>
    <t>TXN-MKOICHND-2APT</t>
  </si>
  <si>
    <t>TXN-MKOICHND-P7DW</t>
  </si>
  <si>
    <t>TXN-MKOICHND-P5WM</t>
  </si>
  <si>
    <t>TXN-MKOICHND-7KBV</t>
  </si>
  <si>
    <t>TXN-MKOICHND-SO4S</t>
  </si>
  <si>
    <t>TXN-MKOICHND-NSLK</t>
  </si>
  <si>
    <t>TXN-MKOICHND-ZUKF</t>
  </si>
  <si>
    <t>TXN-MKOICHND-79FK</t>
  </si>
  <si>
    <t>TXN-MKOICHND-BS3V</t>
  </si>
  <si>
    <t>TXN-MKOICHND-1RA9</t>
  </si>
  <si>
    <t>TXN-MKOICHND-8DTT</t>
  </si>
  <si>
    <t>TXN-MKOICHND-FAPT</t>
  </si>
  <si>
    <t>TXN-MKOICHND-6C70</t>
  </si>
  <si>
    <t>TXN-MKOICHND-R2ZU</t>
  </si>
  <si>
    <t>TXN-MKOICHND-G3BX</t>
  </si>
  <si>
    <t>TXN-MKOICHND-BBH7</t>
  </si>
  <si>
    <t>TXN-MKOICHND-J79Y</t>
  </si>
  <si>
    <t>TXN-MKOICHND-ANQM</t>
  </si>
  <si>
    <t>TXN-MKOICHND-5EPW</t>
  </si>
  <si>
    <t>TXN-MKOICHND-1IWG</t>
  </si>
  <si>
    <t>TXN-MKOICHND-YVWR</t>
  </si>
  <si>
    <t>TXN-MKOICHND-XIZY</t>
  </si>
  <si>
    <t>TXN-MKOICHND-1AW0</t>
  </si>
  <si>
    <t>TXN-MKOICHND-YPI8</t>
  </si>
  <si>
    <t>TXN-MKOICHND-COMT</t>
  </si>
  <si>
    <t>TXN-MKOICHND-1O5M</t>
  </si>
  <si>
    <t>TXN-MKOICHND-CJXS</t>
  </si>
  <si>
    <t>TXN-MKOICHND-SHO3</t>
  </si>
  <si>
    <t>TXN-MKOICHND-NN0E</t>
  </si>
  <si>
    <t>TXN-MKOICHND-HGDQ</t>
  </si>
  <si>
    <t>TXN-MKOICHND-MVOZ</t>
  </si>
  <si>
    <t>TXN-MKOICHND-KNRU</t>
  </si>
  <si>
    <t>TXN-MKOICHND-UZCO</t>
  </si>
  <si>
    <t>TXN-MKOICHND-HHRV</t>
  </si>
  <si>
    <t>TXN-MKOICHND-1AMV</t>
  </si>
  <si>
    <t>TXN-MKOICHND-NK6C</t>
  </si>
  <si>
    <t>TXN-MKOICHND-PPFQ</t>
  </si>
  <si>
    <t>TXN-MKOICHND-U8B9</t>
  </si>
  <si>
    <t>TXN-MKOICHND-D2ZP</t>
  </si>
  <si>
    <t>TXN-MKOICHND-L4PM</t>
  </si>
  <si>
    <t>TXN-MKOICHND-8H1O</t>
  </si>
  <si>
    <t>TXN-MKOICHND-5SJ9</t>
  </si>
  <si>
    <t>TXN-MKOICHND-8ELW</t>
  </si>
  <si>
    <t>TXN-MKOICHND-K4H9</t>
  </si>
  <si>
    <t>TXN-MKOICHND-IEJW</t>
  </si>
  <si>
    <t>TXN-MKOICHND-1WWB</t>
  </si>
  <si>
    <t>TXN-MKOICHND-MOUV</t>
  </si>
  <si>
    <t>TXN-MKOICHND-2NW0</t>
  </si>
  <si>
    <t>TXN-MKOICHND-3UW5</t>
  </si>
  <si>
    <t>TXN-MKOICHND-3RH3</t>
  </si>
  <si>
    <t>TXN-MKOICHND-9GFD</t>
  </si>
  <si>
    <t>TXN-MKOICHND-XPD1</t>
  </si>
  <si>
    <t>TXN-MKOICHND-NFK0</t>
  </si>
  <si>
    <t>TXN-MKOICHND-RL9T</t>
  </si>
  <si>
    <t>TXN-MKOICHND-D7ZB</t>
  </si>
  <si>
    <t>TXN-MKOICHND-QC33</t>
  </si>
  <si>
    <t>TXN-MKOICHND-FRQA</t>
  </si>
  <si>
    <t>TXN-MKOICHND-RKV1</t>
  </si>
  <si>
    <t>TXN-MKOICHND-Z0H7</t>
  </si>
  <si>
    <t>TXN-MKOICHND-92IP</t>
  </si>
  <si>
    <t>TXN-MKOICHND-AI1T</t>
  </si>
  <si>
    <t>TXN-MKOICHND-AAPN</t>
  </si>
  <si>
    <t>TXN-MKOICHNE-0RBU</t>
  </si>
  <si>
    <t>TXN-MKOICHNE-10QJ</t>
  </si>
  <si>
    <t>TXN-MKOICHNE-5R4R</t>
  </si>
  <si>
    <t>TXN-MKOICHNE-3J1L</t>
  </si>
  <si>
    <t>TXN-MKOICHNE-TG42</t>
  </si>
  <si>
    <t>TXN-MKOICHNE-ITD4</t>
  </si>
  <si>
    <t>TXN-MKOICHNE-S2WW</t>
  </si>
  <si>
    <t>TXN-MKOICHNE-PD49</t>
  </si>
  <si>
    <t>TXN-MKOICHNE-USB2</t>
  </si>
  <si>
    <t>TXN-MKOICHNE-AFGN</t>
  </si>
  <si>
    <t>TXN-MKOICHNE-37ZM</t>
  </si>
  <si>
    <t>TXN-MKOICHNE-JNX0</t>
  </si>
  <si>
    <t>TXN-MKOICHNE-VID7</t>
  </si>
  <si>
    <t>TXN-MKOICHNE-B3SI</t>
  </si>
  <si>
    <t>TXN-MKOICHNE-NB8A</t>
  </si>
  <si>
    <t>TXN-MKOICHNE-8DY3</t>
  </si>
  <si>
    <t>TXN-MKOICHNE-44NM</t>
  </si>
  <si>
    <t>TXN-MKOICHNE-MPW8</t>
  </si>
  <si>
    <t>TXN-MKOICHNE-D2ZL</t>
  </si>
  <si>
    <t>TXN-MKOICHNE-DCTK</t>
  </si>
  <si>
    <t>TXN-MKOICHNE-H2T4</t>
  </si>
  <si>
    <t>TXN-MKOICHNE-K9A1</t>
  </si>
  <si>
    <t>TXN-MKOICHNE-SUZV</t>
  </si>
  <si>
    <t>TXN-MKOICHNE-QZD9</t>
  </si>
  <si>
    <t>TXN-MKOICHNE-F8MB</t>
  </si>
  <si>
    <t>TXN-MKOICHNE-1H88</t>
  </si>
  <si>
    <t>TXN-MKOICHNE-7ZDG</t>
  </si>
  <si>
    <t>TXN-MKOICHNE-X1FV</t>
  </si>
  <si>
    <t>TXN-MKOICHNE-9PM4</t>
  </si>
  <si>
    <t>TXN-MKOICHNE-XNEX</t>
  </si>
  <si>
    <t>TXN-MKOICHNE-0I12</t>
  </si>
  <si>
    <t>TXN-MKOICHNE-QVHK</t>
  </si>
  <si>
    <t>TXN-MKOICHNE-3NC1</t>
  </si>
  <si>
    <t>TXN-MKOICHNE-U8VA</t>
  </si>
  <si>
    <t>TXN-MKOICHNE-7E4Y</t>
  </si>
  <si>
    <t>TXN-MKOICHNE-8V3E</t>
  </si>
  <si>
    <t>TXN-MKOICHNE-Y9ZI</t>
  </si>
  <si>
    <t>TXN-MKOICHNE-9ZGF</t>
  </si>
  <si>
    <t>TXN-MKOICHNE-RTNR</t>
  </si>
  <si>
    <t>TXN-MKOICHNE-JY3B</t>
  </si>
  <si>
    <t>TXN-MKOICHNE-UQ23</t>
  </si>
  <si>
    <t>TXN-MKOICHNE-6EMJ</t>
  </si>
  <si>
    <t>TXN-MKOICHNE-PGFW</t>
  </si>
  <si>
    <t>TXN-MKOICHNE-M0SY</t>
  </si>
  <si>
    <t>TXN-MKOICHNE-HEYO</t>
  </si>
  <si>
    <t>TXN-MKOICHNE-KH4A</t>
  </si>
  <si>
    <t>TXN-MKOICHNE-HBHP</t>
  </si>
  <si>
    <t>TXN-MKOICHNE-NA0J</t>
  </si>
  <si>
    <t>TXN-MKOICHNE-GU5T</t>
  </si>
  <si>
    <t>TXN-MKOICHNE-4HF6</t>
  </si>
  <si>
    <t>TXN-MKOICHNE-IDW1</t>
  </si>
  <si>
    <t>TXN-MKOICHNE-RHNP</t>
  </si>
  <si>
    <t>TXN-MKOICHNE-BMHL</t>
  </si>
  <si>
    <t>TXN-MKOICHNE-D3J7</t>
  </si>
  <si>
    <t>TXN-MKOICHNE-LL5C</t>
  </si>
  <si>
    <t>TXN-MKOICHNE-YRIQ</t>
  </si>
  <si>
    <t>TXN-MKOICHNE-BFIA</t>
  </si>
  <si>
    <t>TXN-MKOICHNE-JMKX</t>
  </si>
  <si>
    <t>TXN-MKOICHNE-8N4W</t>
  </si>
  <si>
    <t>TXN-MKOICHNE-3SYU</t>
  </si>
  <si>
    <t>TXN-MKOICHNE-LZ5Y</t>
  </si>
  <si>
    <t>TXN-MKOICHNE-HCHP</t>
  </si>
  <si>
    <t>TXN-MKOICHNE-6GRM</t>
  </si>
  <si>
    <t>TXN-MKOICHNE-FUMU</t>
  </si>
  <si>
    <t>TXN-MKOICHNE-QVCL</t>
  </si>
  <si>
    <t>TXN-MKOICHNE-QA1U</t>
  </si>
  <si>
    <t>TXN-MKOICHNE-ANW2</t>
  </si>
  <si>
    <t>TXN-MKOICHNE-OKGT</t>
  </si>
  <si>
    <t>TXN-MKOICHNE-NVXM</t>
  </si>
  <si>
    <t>TXN-MKOICHNE-ABC5</t>
  </si>
  <si>
    <t>TXN-MKOICHNE-0NSW</t>
  </si>
  <si>
    <t>TXN-MKOICHNE-Q5UF</t>
  </si>
  <si>
    <t>TXN-MKOICHNE-NMOT</t>
  </si>
  <si>
    <t>TXN-MKOICHNE-W1CU</t>
  </si>
  <si>
    <t>TXN-MKOICHNE-KERF</t>
  </si>
  <si>
    <t>TXN-MKOICHNE-9WDD</t>
  </si>
  <si>
    <t>TXN-MKOICHNE-YE7E</t>
  </si>
  <si>
    <t>TXN-MKOICHNE-FK1B</t>
  </si>
  <si>
    <t>TXN-MKOICHNE-H2JC</t>
  </si>
  <si>
    <t>TXN-MKOICHNE-7EGS</t>
  </si>
  <si>
    <t>TXN-MKOICHNE-HNO5</t>
  </si>
  <si>
    <t>TXN-MKOICHNE-Z5QM</t>
  </si>
  <si>
    <t>TXN-MKOICHNE-BWZ2</t>
  </si>
  <si>
    <t>TXN-MKOICHNE-13UT</t>
  </si>
  <si>
    <t>TXN-MKOICHNE-ZR3P</t>
  </si>
  <si>
    <t>TXN-MKOICHNE-MZH6</t>
  </si>
  <si>
    <t>TXN-MKOICHNE-5IL9</t>
  </si>
  <si>
    <t>TXN-MKOICHNE-TR80</t>
  </si>
  <si>
    <t>TXN-MKOICHNE-1H59</t>
  </si>
  <si>
    <t>TXN-MKOICHNE-4RGX</t>
  </si>
  <si>
    <t>TXN-MKOICHNE-UINT</t>
  </si>
  <si>
    <t>TXN-MKOICHNE-9Y6H</t>
  </si>
  <si>
    <t>TXN-MKOICHNE-GU59</t>
  </si>
  <si>
    <t>TXN-MKOICHNE-TYZI</t>
  </si>
  <si>
    <t>TXN-MKOICHNE-XEOI</t>
  </si>
  <si>
    <t>TXN-MKOICHNE-8Z08</t>
  </si>
  <si>
    <t>TXN-MKOICHNE-02N5</t>
  </si>
  <si>
    <t>TXN-MKOICHNE-ZWAW</t>
  </si>
  <si>
    <t>TXN-MKOICHNE-GJCA</t>
  </si>
  <si>
    <t>TXN-MKOICHNE-WHMN</t>
  </si>
  <si>
    <t>TXN-MKOICHNE-VDNI</t>
  </si>
  <si>
    <t>TXN-MKOICHNE-GG3Q</t>
  </si>
  <si>
    <t>TXN-MKOICHNE-UT9S</t>
  </si>
  <si>
    <t>TXN-MKOICHNE-ZM7Z</t>
  </si>
  <si>
    <t>TXN-MKOICHNE-GX1W</t>
  </si>
  <si>
    <t>TXN-MKOICHNE-C64W</t>
  </si>
  <si>
    <t>TXN-MKOICHNE-SZQL</t>
  </si>
  <si>
    <t>TXN-MKOICHNE-J08A</t>
  </si>
  <si>
    <t>TXN-MKOICHNE-9FI1</t>
  </si>
  <si>
    <t>TXN-MKOICHNE-QJF8</t>
  </si>
  <si>
    <t>TXN-MKOICHNE-BF61</t>
  </si>
  <si>
    <t>TXN-MKOICHNE-R8HJ</t>
  </si>
  <si>
    <t>TXN-MKOICHNE-FX8S</t>
  </si>
  <si>
    <t>TXN-MKOICHNE-0XJ1</t>
  </si>
  <si>
    <t>TXN-MKOICHNE-N30Q</t>
  </si>
  <si>
    <t>TXN-MKOICHNE-0O9R</t>
  </si>
  <si>
    <t>TXN-MKOICHNE-AKIC</t>
  </si>
  <si>
    <t>TXN-MKOICHNE-SBOV</t>
  </si>
  <si>
    <t>TXN-MKOICHNE-LDAJ</t>
  </si>
  <si>
    <t>TXN-MKOICHNE-9574</t>
  </si>
  <si>
    <t>TXN-MKOICHNE-TRW2</t>
  </si>
  <si>
    <t>TXN-MKOICHNE-SN75</t>
  </si>
  <si>
    <t>TXN-MKOICHNE-CLGV</t>
  </si>
  <si>
    <t>TXN-MKOICHNE-1KC9</t>
  </si>
  <si>
    <t>TXN-MKOICHNE-Y2OS</t>
  </si>
  <si>
    <t>TXN-MKOICHNE-JRGC</t>
  </si>
  <si>
    <t>TXN-MKOICHNE-IO4V</t>
  </si>
  <si>
    <t>TXN-MKOICHNE-EV9E</t>
  </si>
  <si>
    <t>TXN-MKOICHNE-EXTW</t>
  </si>
  <si>
    <t>TXN-MKOICHNE-3JIQ</t>
  </si>
  <si>
    <t>TXN-MKOICHNE-XEJS</t>
  </si>
  <si>
    <t>TXN-MKOICHNE-RM6E</t>
  </si>
  <si>
    <t>TXN-MKOICHNE-DYBI</t>
  </si>
  <si>
    <t>TXN-MKOICHNE-BKZH</t>
  </si>
  <si>
    <t>TXN-MKOICHNE-DZKQ</t>
  </si>
  <si>
    <t>TXN-MKOICHNE-W0I8</t>
  </si>
  <si>
    <t>TXN-MKOICHNE-FSG9</t>
  </si>
  <si>
    <t>TXN-MKOICHNE-3KNX</t>
  </si>
  <si>
    <t>TXN-MKOICHNE-6T9V</t>
  </si>
  <si>
    <t>TXN-MKOICHNE-5FAI</t>
  </si>
  <si>
    <t>TXN-MKOICHNE-IGJW</t>
  </si>
  <si>
    <t>TXN-MKOICHNE-7U5F</t>
  </si>
  <si>
    <t>TXN-MKOICHNE-1PGW</t>
  </si>
  <si>
    <t>TXN-MKOICHNE-D1NR</t>
  </si>
  <si>
    <t>TXN-MKOICHNE-9MVJ</t>
  </si>
  <si>
    <t>TXN-MKOICHNE-8TN2</t>
  </si>
  <si>
    <t>TXN-MKOICHNE-61C0</t>
  </si>
  <si>
    <t>TXN-MKOICHNE-0X3T</t>
  </si>
  <si>
    <t>TXN-MKOICHNE-QRDC</t>
  </si>
  <si>
    <t>TXN-MKOICHNE-DMBF</t>
  </si>
  <si>
    <t>TXN-MKOICHNE-DYG1</t>
  </si>
  <si>
    <t>TXN-MKOICHNE-F881</t>
  </si>
  <si>
    <t>TXN-MKOICHNE-BQ3T</t>
  </si>
  <si>
    <t>TXN-MKOICHNE-SG6M</t>
  </si>
  <si>
    <t>TXN-MKOICHNE-Y8E2</t>
  </si>
  <si>
    <t>TXN-MKOICHNE-IE7Q</t>
  </si>
  <si>
    <t>TXN-MKOICHNE-AD7S</t>
  </si>
  <si>
    <t>TXN-MKOICHNE-27XC</t>
  </si>
  <si>
    <t>TXN-MKOICHNE-HZEC</t>
  </si>
  <si>
    <t>TXN-MKOICHNE-XY2D</t>
  </si>
  <si>
    <t>TXN-MKOICHNE-ASZT</t>
  </si>
  <si>
    <t>TXN-MKOICHNE-RMAI</t>
  </si>
  <si>
    <t>TXN-MKOICHNE-5WTA</t>
  </si>
  <si>
    <t>TXN-MKOICHNE-FDZO</t>
  </si>
  <si>
    <t>TXN-MKOICHNE-PDZM</t>
  </si>
  <si>
    <t>TXN-MKOICHNE-JM58</t>
  </si>
  <si>
    <t>TXN-MKOICHNE-UFPP</t>
  </si>
  <si>
    <t>TXN-MKOICHNE-3GES</t>
  </si>
  <si>
    <t>TXN-MKOICHNE-ZX9L</t>
  </si>
  <si>
    <t>TXN-MKOICHNE-V6I5</t>
  </si>
  <si>
    <t>TXN-MKOICHNE-9HBY</t>
  </si>
  <si>
    <t>TXN-MKOICHNE-QTL7</t>
  </si>
  <si>
    <t>TXN-MKOICHNE-9V5Y</t>
  </si>
  <si>
    <t>TXN-MKOICHNE-FKYE</t>
  </si>
  <si>
    <t>TXN-MKOICHNE-HWHJ</t>
  </si>
  <si>
    <t>TXN-MKOICHNE-M7RK</t>
  </si>
  <si>
    <t>TXN-MKOICHNE-0LJ2</t>
  </si>
  <si>
    <t>TXN-MKOICHNE-EU6S</t>
  </si>
  <si>
    <t>TXN-MKOICHNE-2VI0</t>
  </si>
  <si>
    <t>TXN-MKOICHNE-7051</t>
  </si>
  <si>
    <t>TXN-MKOICHNE-SGIV</t>
  </si>
  <si>
    <t>TXN-MKOICHNE-FW0U</t>
  </si>
  <si>
    <t>TXN-MKOICHNE-1Z37</t>
  </si>
  <si>
    <t>TXN-MKOICHNE-J1S9</t>
  </si>
  <si>
    <t>TXN-MKOICHNE-65VF</t>
  </si>
  <si>
    <t>TXN-MKOICHNE-BTLC</t>
  </si>
  <si>
    <t>TXN-MKOICHNE-IRDS</t>
  </si>
  <si>
    <t>TXN-MKOICHNE-IAMC</t>
  </si>
  <si>
    <t>TXN-MKOICHNE-2U7J</t>
  </si>
  <si>
    <t>TXN-MKOICHNE-4QLE</t>
  </si>
  <si>
    <t>TXN-MKOICHNE-KE4L</t>
  </si>
  <si>
    <t>TXN-MKOICHNE-0M7Z</t>
  </si>
  <si>
    <t>TXN-MKOICHNE-AHAH</t>
  </si>
  <si>
    <t>TXN-MKOICHNE-1YEI</t>
  </si>
  <si>
    <t>TXN-MKOICHNE-QQON</t>
  </si>
  <si>
    <t>TXN-MKOICHNE-QOQ0</t>
  </si>
  <si>
    <t>TXN-MKOICHNE-MHFZ</t>
  </si>
  <si>
    <t>TXN-MKOICHNE-PG2Z</t>
  </si>
  <si>
    <t>TXN-MKOICHNE-2AXW</t>
  </si>
  <si>
    <t>TXN-MKOICHNE-VHSC</t>
  </si>
  <si>
    <t>TXN-MKOICHNE-NEFJ</t>
  </si>
  <si>
    <t>TXN-MKOICHNE-BD3F</t>
  </si>
  <si>
    <t>TXN-MKOICHNF-2W91</t>
  </si>
  <si>
    <t>TXN-MKOICHNF-8O2G</t>
  </si>
  <si>
    <t>TXN-MKOICHNF-CGSU</t>
  </si>
  <si>
    <t>TXN-MKOICHNF-YP5I</t>
  </si>
  <si>
    <t>TXN-MKOICHNF-TNIT</t>
  </si>
  <si>
    <t>TXN-MKOICHNF-OARZ</t>
  </si>
  <si>
    <t>test</t>
  </si>
  <si>
    <t>LMSAT KHOZAM</t>
  </si>
  <si>
    <t>أخرى</t>
  </si>
  <si>
    <t>مشتريات</t>
  </si>
  <si>
    <t>TXN-MKOICHNF-1BC6</t>
  </si>
  <si>
    <t>ZAWYAT ALSAER ALADEL</t>
  </si>
  <si>
    <t>TXN-MKOICHNF-U49G</t>
  </si>
  <si>
    <t>محمد المطيري</t>
  </si>
  <si>
    <t>حوالات</t>
  </si>
  <si>
    <t>TXN-MKOICHNF-6TEZ</t>
  </si>
  <si>
    <t>اليوم</t>
  </si>
  <si>
    <t>الأسبوع</t>
  </si>
  <si>
    <t>json</t>
  </si>
  <si>
    <t>TXN-MKOICHNF-YEOW</t>
  </si>
  <si>
    <t>TXN-MKOICHNF-3ZR1</t>
  </si>
  <si>
    <t>UNIT_TEST</t>
  </si>
  <si>
    <t>الأربعاء</t>
  </si>
  <si>
    <t>TXN-MKOICHNF-M80D</t>
  </si>
  <si>
    <t>TEST_ADD</t>
  </si>
  <si>
    <t>TXN-MKOICHNF-8ZZW</t>
  </si>
  <si>
    <t>TEST</t>
  </si>
  <si>
    <t>TXN-MKOICHNF-282F</t>
  </si>
  <si>
    <t>PK_TEST</t>
  </si>
  <si>
    <t>TXN-MKOICHNF-COAN</t>
  </si>
  <si>
    <t>FIND_TEST</t>
  </si>
  <si>
    <t>TXN-MKOICHNF-API9</t>
  </si>
  <si>
    <t>TXN-MKOICHNF-CVR0</t>
  </si>
  <si>
    <t>TXN-MKOICHNF-U77F</t>
  </si>
  <si>
    <t>TXN-MKOICHNF-AUP4</t>
  </si>
  <si>
    <t>TXN-MKOICHNF-LKPD</t>
  </si>
  <si>
    <t>TXN-MKOICHNF-ZMX0</t>
  </si>
  <si>
    <t>MANUAL_TEST</t>
  </si>
  <si>
    <t>TXN-MKOICHNF-JQ2T</t>
  </si>
  <si>
    <t>تليجرام (يدوي)</t>
  </si>
  <si>
    <t>TXN-MKOICHNF-SYK7</t>
  </si>
  <si>
    <t>TXN-MKOICHNF-PLW7</t>
  </si>
  <si>
    <t>TXN-MKOICHNF-UUWM</t>
  </si>
  <si>
    <t>TXN-MKOICHNF-1V92</t>
  </si>
  <si>
    <t>TXN-MKOICHNF-SBR4</t>
  </si>
  <si>
    <t>TXN-MKOICHNF-VBBT</t>
  </si>
  <si>
    <t>TXN-MKOICHNF-LGTB</t>
  </si>
  <si>
    <t>TXN-MKOICHNF-O5BO</t>
  </si>
  <si>
    <t>TXN-MKOICHNF-R07K</t>
  </si>
  <si>
    <t>TXN-MKOIGJ4P-XVM7</t>
  </si>
  <si>
    <t>TEST_TELEGRAM</t>
  </si>
  <si>
    <t>MADFU</t>
  </si>
  <si>
    <t>*3449</t>
  </si>
  <si>
    <t>شراء انترنت</t>
  </si>
  <si>
    <t>شراء</t>
  </si>
  <si>
    <t>شراء انترنت
مبلغ: SAR 239.05
بطاقة: *3449 - mada (Ecommerce)
لدى: MADFU
في: 15:19 2026-01-11</t>
  </si>
  <si>
    <t>TXN-MKOKX4VR-YTR8</t>
  </si>
  <si>
    <t>اختباري</t>
  </si>
  <si>
    <t>debit</t>
  </si>
  <si>
    <t>شراء اختباري SAR 5.00</t>
  </si>
  <si>
    <t>اختبار</t>
  </si>
  <si>
    <t>test raw</t>
  </si>
  <si>
    <t>TXN-MKOKX8KO-2JC7</t>
  </si>
  <si>
    <t>UUID Test</t>
  </si>
  <si>
    <t>TXN-MKOKX9TP-8DAI</t>
  </si>
  <si>
    <t>Find Test UUID</t>
  </si>
  <si>
    <t>بحث</t>
  </si>
  <si>
    <t>find test uuid</t>
  </si>
  <si>
    <t>TXN-MKOM9GSJ-GUF6</t>
  </si>
  <si>
    <t>قناة الرصد</t>
  </si>
  <si>
    <t>غير محدد</t>
  </si>
  <si>
    <t>https://script.google.com/macros/s/AKfycbxs4fOvoMXRHRELktLqu28jP2ZAkorKPTFZS1sA3H8_TooeKP1TDhET7-uwvA1jPHLJ/exec</t>
  </si>
  <si>
    <t>TXN-MKPB5Q9A-3314</t>
  </si>
  <si>
    <t>**0305</t>
  </si>
  <si>
    <t>شراء POS</t>
  </si>
  <si>
    <t>MasterCard</t>
  </si>
  <si>
    <t>شراء POS
بـ 1.00 SAR
من ZAWYAT ALSAER ALADEL
عبر MasterCard **0305 Apple Pay
في 2026-01-21 22:13:48</t>
  </si>
  <si>
    <t>TXN-MKPI9ABV-MFVM</t>
  </si>
  <si>
    <t>MHL AKLA ALTWT</t>
  </si>
  <si>
    <t>MasterCard **0305 Apple Pay</t>
  </si>
  <si>
    <t>شراء POS
بـ 115.00 SAR
من MHL AKLA ALTWT
عبر MasterCard **0305 Apple Pay
في 2026-01-22 16:42:25</t>
  </si>
  <si>
    <t>TXN-MKRORW15-WPJD</t>
  </si>
  <si>
    <t>السبت</t>
  </si>
  <si>
    <t>متجر الاختبار</t>
  </si>
  <si>
    <t>اختبار شراء SAR 10.00 لدى متجر الاختبار</t>
  </si>
  <si>
    <t>TXN-MKROS1X1-SFGK</t>
  </si>
  <si>
    <t>TXN-MKROS2S4-1VER</t>
  </si>
  <si>
    <t>TXN-MKSB6KPV-4WW9</t>
  </si>
  <si>
    <t>NAFT STN 4018-AlKeram</t>
  </si>
  <si>
    <t>POS</t>
  </si>
  <si>
    <t>purchase</t>
  </si>
  <si>
    <t>شراء POS
بـ 50.00 SAR
من NAFT STN 4018-AlKeram
عبر MasterCard **0305 Apple Pay
في 2026-01-23 17:54:58</t>
  </si>
  <si>
    <t>TXN-MKSBPAUB-CXZZ</t>
  </si>
  <si>
    <t>DUKAN 4278</t>
  </si>
  <si>
    <t>شراء POS
بـ 25.15 SAR
من DUKAN 4278
عبر MasterCard **0305 Apple Pay
في 2026-01-24 16:05:56</t>
  </si>
  <si>
    <t>TXN-MKSCWCPF-SQNE</t>
  </si>
  <si>
    <t>RAEAH ALGEEM</t>
  </si>
  <si>
    <t>شراء POS
بـ 3.50 SAR
من RAEAH ALGEEM
عبر MasterCard **0305 Apple Pay
في 2026-01-24 16:39:23</t>
  </si>
  <si>
    <t>TXN-MKSGRKIN-8U6W</t>
  </si>
  <si>
    <t>التطبيق</t>
  </si>
  <si>
    <t>تحويل داخلي</t>
  </si>
  <si>
    <t>تحويل</t>
  </si>
  <si>
    <t>رمز مؤقت:3950
لـ :تحويل داخلي - التطبيق
المبلغ:SAR 150.00</t>
  </si>
  <si>
    <t>TXN-MKSGRT86-L26M</t>
  </si>
  <si>
    <t>حسام المطيري</t>
  </si>
  <si>
    <t>حوالة داخلية</t>
  </si>
  <si>
    <t>صادرة</t>
  </si>
  <si>
    <t>حوالة داخلية صادرة
من9765
بـSAR 150
لـ9114;حسام المطيري
26/1/24 18:27</t>
  </si>
  <si>
    <t>TXN-MKSL8ZBG-LIWK</t>
  </si>
  <si>
    <t>TXN-MKSL928P-EJQO</t>
  </si>
  <si>
    <t>TXN-MKSL95KX-KB93</t>
  </si>
  <si>
    <t>TXN-MKSL97GK-TIX6</t>
  </si>
  <si>
    <t>TXN-MKSL99MU-YEX1</t>
  </si>
  <si>
    <t>TXN-MKSL9A3V-9D96</t>
  </si>
  <si>
    <t>TXN-MKSL9E64-WF59</t>
  </si>
  <si>
    <t>TXN-MKSL9FD7-G8RP</t>
  </si>
  <si>
    <t>TXN-MKU6KOGV-NORT</t>
  </si>
  <si>
    <t>الأحد</t>
  </si>
  <si>
    <t>ALBAIT ALTHAHABI Co</t>
  </si>
  <si>
    <t>شراء POS
بـ 11.00 SAR
من ALBAIT ALTHAHABI Co
عبر MasterCard **0305 Apple Pay
في 2026-01-25 19:52:50</t>
  </si>
  <si>
    <t>TXN-MKU83IU7-D529</t>
  </si>
  <si>
    <t>الإثنين</t>
  </si>
  <si>
    <t>DIAGNOSTIC_TEST</t>
  </si>
  <si>
    <t>**3474</t>
  </si>
  <si>
    <t>Test Coffee Shop</t>
  </si>
  <si>
    <t>طعام</t>
  </si>
  <si>
    <t>شراء POS
بـ 15.00 SAR
من Test Coffee Shop
عبر مدى **3474
في 2026-01-25</t>
  </si>
  <si>
    <t>المصدر</t>
  </si>
  <si>
    <t>النص</t>
  </si>
  <si>
    <t>البيانات</t>
  </si>
  <si>
    <t>التاريخ</t>
  </si>
  <si>
    <t>الرقم</t>
  </si>
  <si>
    <t>البنك</t>
  </si>
  <si>
    <t>آخر_تحديث</t>
  </si>
  <si>
    <t>حسابي</t>
  </si>
  <si>
    <t>SMS_Pattern</t>
  </si>
  <si>
    <t>أسماء_بديلة</t>
  </si>
  <si>
    <t>ساب - رئيسي</t>
  </si>
  <si>
    <t>بنك</t>
  </si>
  <si>
    <t>ساب</t>
  </si>
  <si>
    <t>saib|ساب</t>
  </si>
  <si>
    <t>SAIB,البنك السعودي البريطاني</t>
  </si>
  <si>
    <t>الحساب الرئيسي</t>
  </si>
  <si>
    <t>ساب - مدى</t>
  </si>
  <si>
    <t>بطاقة</t>
  </si>
  <si>
    <t>مدى|mada|X3474</t>
  </si>
  <si>
    <t>*3474,مدى ابل</t>
  </si>
  <si>
    <t>بطاقة الصراف</t>
  </si>
  <si>
    <t>الراجحي</t>
  </si>
  <si>
    <t>alrajhi|الراجحي|مصرف الراجحي</t>
  </si>
  <si>
    <t>tiqmo</t>
  </si>
  <si>
    <t>محفظة</t>
  </si>
  <si>
    <t>تيقمو</t>
  </si>
  <si>
    <t>محفظة رقمية</t>
  </si>
  <si>
    <t>Tamara</t>
  </si>
  <si>
    <t>ائتمان</t>
  </si>
  <si>
    <t>tamara</t>
  </si>
  <si>
    <t>tamara|تمارا</t>
  </si>
  <si>
    <t>Tamara,تمارا</t>
  </si>
  <si>
    <t>اشتر الآن ادفع لاحقاً</t>
  </si>
  <si>
    <t>مفعل</t>
  </si>
  <si>
    <t>الجهة</t>
  </si>
  <si>
    <t>Regex</t>
  </si>
  <si>
    <t>map</t>
  </si>
  <si>
    <t>الوقت</t>
  </si>
  <si>
    <t>البصمة</t>
  </si>
  <si>
    <t>NA|NA|na</t>
  </si>
  <si>
    <t>OK</t>
  </si>
  <si>
    <t>Account/Card</t>
  </si>
  <si>
    <t>AI Details</t>
  </si>
  <si>
    <t>Notes</t>
  </si>
  <si>
    <t>Budget Used</t>
  </si>
  <si>
    <t>Debt Impact</t>
  </si>
  <si>
    <t>Balance</t>
  </si>
  <si>
    <t>User ID</t>
  </si>
  <si>
    <t>STC Bank</t>
  </si>
  <si>
    <t>بطاقة رقمية</t>
  </si>
  <si>
    <t>{"amount":8,"merchant":"LMSAT KHOZAM","category":"أخرى","type":"مشتريات","currency":"SAR","account":3281,"date":"","isIncoming":false,"confidence":0.85,"treatment":"EXPENSE","accountType":"بطاقة رقمية","bankName":"STC Bank"}</t>
  </si>
  <si>
    <t>شراء Apple Pay
عبر:*3281
بـ:8 SAR
من:LMSAT KHOZAM
في: 19/01/26 22:49</t>
  </si>
  <si>
    <t>بطاقة مدى</t>
  </si>
  <si>
    <t>{"amount":5,"merchant":"ZAWYAT ALSAER ALADEL","category":"أخرى","type":"مشتريات","currency":"SAR","account":305,"date":"","isIncoming":false,"confidence":0.85,"treatment":"EXPENSE","accountType":"بطاقة مدى","bankName":"tiqmo"}</t>
  </si>
  <si>
    <t>شراء POS
بـ 5.00 SAR
من ZAWYAT ALSAER ALADEL
عبر MasterCard **0305</t>
  </si>
  <si>
    <t>بنك الراجحي</t>
  </si>
  <si>
    <t>حساب جاري</t>
  </si>
  <si>
    <t>{"amount":0,"merchant":"محمد المطيري","category":"حوالات","type":"حوالات","currency":"SAR","account":9765,"date":"","isIncoming":false,"confidence":0.85,"treatment":"TRANSFER_OUT","accountType":"حساب جاري","bankName":"بنك الراجحي"}</t>
  </si>
  <si>
    <t>حوالة داخلية صادرة
من9765
بـSAR 300
لـ3512;محمد المطيري</t>
  </si>
  <si>
    <t>حوالات صادرة</t>
  </si>
  <si>
    <t>شراء انترنت
مبلغ: SAR 239.05
بطاقة: *3449 - mada (Ecommerce)
لدى: MADFU
في: 15:19 2026-01-10</t>
  </si>
  <si>
    <t>حوالة</t>
  </si>
  <si>
    <t>حوالة داخلية صادرة
من1626
بـSAR 500
لـ3818;مقرن المطيري
26/1/20 17:16</t>
  </si>
  <si>
    <t>TXN-MKODIQO0-FCDV</t>
  </si>
  <si>
    <t>TXN-MKODIS3J-OK32</t>
  </si>
  <si>
    <t>TXN-MKODIUDD-KXJI</t>
  </si>
  <si>
    <t>TXN-MKODIV94-6K12</t>
  </si>
  <si>
    <t>Find Test</t>
  </si>
  <si>
    <t>find test</t>
  </si>
  <si>
    <t>TXN-MKODSB2V-RXOQ</t>
  </si>
  <si>
    <t>TXN-MKODSD63-YCNX</t>
  </si>
  <si>
    <t>TXN-MKODSFA7-3DOX</t>
  </si>
  <si>
    <t>TXN-MKODSH6G-FV2A</t>
  </si>
  <si>
    <t>TXN-MKOERD6T-3NLQ</t>
  </si>
  <si>
    <t>مقرن المطيري</t>
  </si>
  <si>
    <t>TXN-MKOH4PYL-O4OA</t>
  </si>
  <si>
    <t>انترنت</t>
  </si>
  <si>
    <t>TXN-MKOH4UYE-MRLM</t>
  </si>
  <si>
    <t>TXN-MKOH52OD-XM90</t>
  </si>
  <si>
    <t>TXN-MKOH5BO5-EFGC</t>
  </si>
  <si>
    <t>TXN-MKOH5MIE-9Q6K</t>
  </si>
  <si>
    <t>TXN-MKOH65DT-523L</t>
  </si>
  <si>
    <t>TXN-MKOH71MO-IXNX</t>
  </si>
  <si>
    <t>TXN-MKOH8LHN-D5J7</t>
  </si>
  <si>
    <t>TXN-MKOHAKWW-A69J</t>
  </si>
  <si>
    <t>TXN-MKOHIEZ9-580R</t>
  </si>
  <si>
    <t>مواد غذائية</t>
  </si>
  <si>
    <t>Person Name</t>
  </si>
  <si>
    <t>Transaction ID</t>
  </si>
  <si>
    <t>Last Updated</t>
  </si>
  <si>
    <t>Main Category</t>
  </si>
  <si>
    <t>Icon</t>
  </si>
  <si>
    <t>Subcategory</t>
  </si>
  <si>
    <t>Is Active</t>
  </si>
  <si>
    <t>Food &amp; Dining</t>
  </si>
  <si>
    <t>🍽️</t>
  </si>
  <si>
    <t>مطاعم</t>
  </si>
  <si>
    <t>نعم</t>
  </si>
  <si>
    <t>كافيهات</t>
  </si>
  <si>
    <t>وجبات سريعة</t>
  </si>
  <si>
    <t>بقالة</t>
  </si>
  <si>
    <t>سوبر ماركت</t>
  </si>
  <si>
    <t>مخابز</t>
  </si>
  <si>
    <t>حلويات</t>
  </si>
  <si>
    <t>توصيل طعام</t>
  </si>
  <si>
    <t>Transportation</t>
  </si>
  <si>
    <t>🚗</t>
  </si>
  <si>
    <t>وقود (بنزين)</t>
  </si>
  <si>
    <t>أوبر/كريم</t>
  </si>
  <si>
    <t>صيانة السيارة</t>
  </si>
  <si>
    <t>قطع غيار</t>
  </si>
  <si>
    <t>غسيل السيارة</t>
  </si>
  <si>
    <t>مواقف</t>
  </si>
  <si>
    <t>تأمين السيارة</t>
  </si>
  <si>
    <t>رسوم طرق</t>
  </si>
  <si>
    <t>Shopping</t>
  </si>
  <si>
    <t>🛍️</t>
  </si>
  <si>
    <t>ملابس</t>
  </si>
  <si>
    <t>أحذية</t>
  </si>
  <si>
    <t>إكسسوارات</t>
  </si>
  <si>
    <t>إلكترونيات</t>
  </si>
  <si>
    <t>أثاث</t>
  </si>
  <si>
    <t>ديكور منزلي</t>
  </si>
  <si>
    <t>هدايا</t>
  </si>
  <si>
    <t>كتب</t>
  </si>
  <si>
    <t>ألعاب</t>
  </si>
  <si>
    <t>Bills &amp; Utilities</t>
  </si>
  <si>
    <t>📄</t>
  </si>
  <si>
    <t>كهرباء</t>
  </si>
  <si>
    <t>ماء</t>
  </si>
  <si>
    <t>جوال (STC/Zain/Mobily)</t>
  </si>
  <si>
    <t>إنترنت منزلي</t>
  </si>
  <si>
    <t>رسوم حكومية</t>
  </si>
  <si>
    <t>رسوم بنكية</t>
  </si>
  <si>
    <t>اشتراكات</t>
  </si>
  <si>
    <t>صيانة منزل</t>
  </si>
  <si>
    <t>Entertainment</t>
  </si>
  <si>
    <t>🎬</t>
  </si>
  <si>
    <t>سينما</t>
  </si>
  <si>
    <t>ألعاب إلكترونية</t>
  </si>
  <si>
    <t>اشتراكات رقمية (Netflix/Shahid)</t>
  </si>
  <si>
    <t>رحلات ترفيهية</t>
  </si>
  <si>
    <t>حفلات ومناسبات</t>
  </si>
  <si>
    <t>هوايات</t>
  </si>
  <si>
    <t>رياضة</t>
  </si>
  <si>
    <t>سفر وسياحة</t>
  </si>
  <si>
    <t>Healthcare</t>
  </si>
  <si>
    <t>🏥</t>
  </si>
  <si>
    <t>مستشفيات</t>
  </si>
  <si>
    <t>عيادات</t>
  </si>
  <si>
    <t>أدوية</t>
  </si>
  <si>
    <t>صيدليات</t>
  </si>
  <si>
    <t>تأمين صحي</t>
  </si>
  <si>
    <t>تحاليل طبية</t>
  </si>
  <si>
    <t>نظارات</t>
  </si>
  <si>
    <t>أسنان</t>
  </si>
  <si>
    <t>Education</t>
  </si>
  <si>
    <t>📚</t>
  </si>
  <si>
    <t>رسوم دراسية</t>
  </si>
  <si>
    <t>دورات تدريبية</t>
  </si>
  <si>
    <t>كتب دراسية</t>
  </si>
  <si>
    <t>قرطاسية</t>
  </si>
  <si>
    <t>دروس خصوصية</t>
  </si>
  <si>
    <t>شهادات احترافية</t>
  </si>
  <si>
    <t>Family &amp; Kids</t>
  </si>
  <si>
    <t>👨‍👩‍👧‍👦</t>
  </si>
  <si>
    <t>حفاضات</t>
  </si>
  <si>
    <t>ألعاب أطفال</t>
  </si>
  <si>
    <t>ملابس أطفال</t>
  </si>
  <si>
    <t>حضانة</t>
  </si>
  <si>
    <t>مصروف أطفال</t>
  </si>
  <si>
    <t>أنشطة أطفال</t>
  </si>
  <si>
    <t>Personal Care</t>
  </si>
  <si>
    <t>💅</t>
  </si>
  <si>
    <t>صالون حلاقة</t>
  </si>
  <si>
    <t>مستحضرات تجميل</t>
  </si>
  <si>
    <t>عطور</t>
  </si>
  <si>
    <t>عناية بالبشرة</t>
  </si>
  <si>
    <t>عناية بالشعر</t>
  </si>
  <si>
    <t>منتجات صحية</t>
  </si>
  <si>
    <t>Home &amp; Garden</t>
  </si>
  <si>
    <t>🏠</t>
  </si>
  <si>
    <t>إيجار</t>
  </si>
  <si>
    <t>أدوات منزلية</t>
  </si>
  <si>
    <t>نباتات</t>
  </si>
  <si>
    <t>تنظيف</t>
  </si>
  <si>
    <t>مستلزمات مطبخ</t>
  </si>
  <si>
    <t>فرش وسجاد</t>
  </si>
  <si>
    <t>Installments</t>
  </si>
  <si>
    <t>💳</t>
  </si>
  <si>
    <t>تابي (Tabby)</t>
  </si>
  <si>
    <t>تمارا (Tamara)</t>
  </si>
  <si>
    <t>أقساط بنكية</t>
  </si>
  <si>
    <t>تمويل شخصي</t>
  </si>
  <si>
    <t>تقسيط متجر</t>
  </si>
  <si>
    <t>Charity &amp; Donations</t>
  </si>
  <si>
    <t>🤲</t>
  </si>
  <si>
    <t>زكاة</t>
  </si>
  <si>
    <t>صدقة</t>
  </si>
  <si>
    <t>جمعيات خيرية</t>
  </si>
  <si>
    <t>وقف</t>
  </si>
  <si>
    <t>كفالة يتيم</t>
  </si>
  <si>
    <t>مساعدات</t>
  </si>
  <si>
    <t>Investment &amp; Savings</t>
  </si>
  <si>
    <t>💰</t>
  </si>
  <si>
    <t>ادخار شهري</t>
  </si>
  <si>
    <t>أسهم</t>
  </si>
  <si>
    <t>عقارات</t>
  </si>
  <si>
    <t>ذهب</t>
  </si>
  <si>
    <t>صناديق استثمارية</t>
  </si>
  <si>
    <t>تأمين ادخاري</t>
  </si>
  <si>
    <t>Work &amp; Business</t>
  </si>
  <si>
    <t>💼</t>
  </si>
  <si>
    <t>أدوات عمل</t>
  </si>
  <si>
    <t>اجتماعات عمل</t>
  </si>
  <si>
    <t>تطوير مهني</t>
  </si>
  <si>
    <t>تراخيص عمل</t>
  </si>
  <si>
    <t>مصاريف مكتب</t>
  </si>
  <si>
    <t>استشارات</t>
  </si>
  <si>
    <t>Insurance</t>
  </si>
  <si>
    <t>🛡️</t>
  </si>
  <si>
    <t>تأمين طبي</t>
  </si>
  <si>
    <t>تأمين سيارة</t>
  </si>
  <si>
    <t>تأمين منزل</t>
  </si>
  <si>
    <t>تأمين على الحياة</t>
  </si>
  <si>
    <t>تأمينات أخرى</t>
  </si>
  <si>
    <t>Transfers</t>
  </si>
  <si>
    <t>🔄</t>
  </si>
  <si>
    <t>حوالة لأحد الأقارب</t>
  </si>
  <si>
    <t>حوالة لصديق</t>
  </si>
  <si>
    <t>سلفة (قرض)</t>
  </si>
  <si>
    <t>استرجاع مبلغ</t>
  </si>
  <si>
    <t>حوالة بين حساباتي</t>
  </si>
  <si>
    <t>مصاريف مشتركة</t>
  </si>
  <si>
    <t>Other</t>
  </si>
  <si>
    <t>📦</t>
  </si>
  <si>
    <t>غير مصنف</t>
  </si>
  <si>
    <t>نثريات</t>
  </si>
  <si>
    <t>طوارئ</t>
  </si>
  <si>
    <t>متنوعة</t>
  </si>
  <si>
    <t>meta</t>
  </si>
  <si>
    <t>{"from":null,"receivedAt":"2026-01-21T17:45:33.249Z","raw":{"contentType":"application/json","rawBody":"{\"ios_sms\":\"source\",\"debug\":\"on\",\"sms_text\":\"شراء انترنت\\nمبلغ: SAR 239.05\\nبطاقة: *3449 - mada (Ecommerce)\\nلدى: MADFU\\nفي: 15:19 2026-01-10\"}","fields":{"ios_sms":"source","debug":"on","sms_text":"شراء انترنت\nمبلغ: SAR 239.05\nبطاقة: *3449 - mada (Ecommerce)\nلدى: MADFU\nفي: 15:19 2026-01-10"}}}</t>
  </si>
  <si>
    <t>التصنيف</t>
  </si>
  <si>
    <t>الموازنة</t>
  </si>
  <si>
    <t>المصروف</t>
  </si>
  <si>
    <t>المتبقي</t>
  </si>
  <si>
    <t>V1_AUTO</t>
  </si>
  <si>
    <t>المستوى</t>
  </si>
  <si>
    <t>المسار</t>
  </si>
  <si>
    <t>بيانات</t>
  </si>
  <si>
    <t>نص مختصر</t>
  </si>
  <si>
    <t>ERROR</t>
  </si>
  <si>
    <t>sendMessage</t>
  </si>
  <si>
    <t>{"code":400}</t>
  </si>
  <si>
    <t>{"ok":false,"error_code":400,"description":"Bad Request: message text is empty"}</t>
  </si>
  <si>
    <t>syncUserData</t>
  </si>
  <si>
    <t>{"error":"ReferenceError: isInternalTransfer_ is not defined","userId":"USER1"}</t>
  </si>
  <si>
    <t>{"ok":false,"error_code":400,"description":"Bad Request: chat not found"}</t>
  </si>
  <si>
    <t>TXN-MKOIY3VD-GM7Y</t>
  </si>
  <si>
    <t>فواتير</t>
  </si>
  <si>
    <t>TXN-MKOKX1YK-8WEQ</t>
  </si>
  <si>
    <t>TXN-MKRORYCN-7COW</t>
  </si>
  <si>
    <t>TXN-MKRPFNBC-DFQM</t>
  </si>
  <si>
    <t>TXN-MKRPFPU0-N653</t>
  </si>
  <si>
    <t>TXN-MKRPFTRX-6JY2</t>
  </si>
  <si>
    <t>TXN-MKRPFVJB-OR44</t>
  </si>
  <si>
    <t>TXN-MKRPGKQK-ZWRE</t>
  </si>
  <si>
    <t>STC PAY</t>
  </si>
  <si>
    <t>DEV_TEST</t>
  </si>
  <si>
    <t>TXN-MKSB4OKO-A57Z</t>
  </si>
  <si>
    <t>كارفور</t>
  </si>
  <si>
    <t>TEST_SCRIPT</t>
  </si>
  <si>
    <t>TXN-MKSB4S45-XZ5G</t>
  </si>
  <si>
    <t>البيك</t>
  </si>
  <si>
    <t>TXN-MKSB4V4E-IGDQ</t>
  </si>
  <si>
    <t>أرامكو محطة الوقود 9767</t>
  </si>
  <si>
    <t>TXN-MKSB4Y0D-PNPB</t>
  </si>
  <si>
    <t>الشركة</t>
  </si>
  <si>
    <t>راتب</t>
  </si>
  <si>
    <t>TXN-MKSB52KY-ASBT</t>
  </si>
  <si>
    <t>حساب تقمو</t>
  </si>
  <si>
    <t>TXN-MKSLB70E-H510</t>
  </si>
  <si>
    <t>TXN-MKU8QW7L-2ERJ</t>
  </si>
  <si>
    <t>TXN-MKU8TH6C-RB9M</t>
  </si>
  <si>
    <t>Pattern Type</t>
  </si>
  <si>
    <t>Keywords</t>
  </si>
  <si>
    <t>Treatment</t>
  </si>
  <si>
    <t>WALLET_RELOAD</t>
  </si>
  <si>
    <t>إضافة أموال|اضافة باستخدام آبل باى|إضافة باستخدام</t>
  </si>
  <si>
    <t>IGNORE</t>
  </si>
  <si>
    <t>لا تُحسب ضمن المصروفات - مجرد نقل أموال</t>
  </si>
  <si>
    <t>TABBY</t>
  </si>
  <si>
    <t>Tabby|تابي</t>
  </si>
  <si>
    <t>أقساط</t>
  </si>
  <si>
    <t>INSTALLMENT</t>
  </si>
  <si>
    <t>رصد كقسط شهري</t>
  </si>
  <si>
    <t>TAMARA</t>
  </si>
  <si>
    <t>Tamara|تمارا</t>
  </si>
  <si>
    <t>BILL_PAYMENT</t>
  </si>
  <si>
    <t>SAUDI ELECTRICITY|Jawwy|STC|موبايلي|زين</t>
  </si>
  <si>
    <t>EXPENSE</t>
  </si>
  <si>
    <t>سداد فاتورة</t>
  </si>
  <si>
    <t>CHARITY</t>
  </si>
  <si>
    <t>لبنات الوقفية|خيري|صدقة</t>
  </si>
  <si>
    <t>تبرعات</t>
  </si>
  <si>
    <t>حوالة خيرية</t>
  </si>
  <si>
    <t>TRANSFER_OUT</t>
  </si>
  <si>
    <t>حوالة داخلية صادرة|حوالة محلية صادرة|حوالة دولية</t>
  </si>
  <si>
    <t>حوالة صادرة - دائن</t>
  </si>
  <si>
    <t>TRANSFER_IN</t>
  </si>
  <si>
    <t>حوالة وارده|استرجاع</t>
  </si>
  <si>
    <t>حوالة واردة - مدين</t>
  </si>
  <si>
    <t>DECLINED</t>
  </si>
  <si>
    <t>عملية مرفوضة|رصيد غير كافي|Declined</t>
  </si>
  <si>
    <t>مرفوض</t>
  </si>
  <si>
    <t>لا تُحسب - عملية ملغاة</t>
  </si>
  <si>
    <t>OTP</t>
  </si>
  <si>
    <t>رمز التحقق|OTP|رمز مؤقت</t>
  </si>
  <si>
    <t>أمان</t>
  </si>
  <si>
    <t>رسالة أمان فقط</t>
  </si>
  <si>
    <t>INTERNATIONAL</t>
  </si>
  <si>
    <t>شراء دولي|USD|KWD|KES</t>
  </si>
  <si>
    <t>مشتريات دولية</t>
  </si>
  <si>
    <t>عملية بعملة أجنبية</t>
  </si>
  <si>
    <t>Account ID</t>
  </si>
  <si>
    <t>نوع الحساب</t>
  </si>
  <si>
    <t>اسم البنك</t>
  </si>
  <si>
    <t>آخر 4 أرقام</t>
  </si>
  <si>
    <t>Phone Pattern</t>
  </si>
  <si>
    <t>SMS Pattern</t>
  </si>
  <si>
    <t>حالة</t>
  </si>
  <si>
    <t>تاريخ التسجيل</t>
  </si>
  <si>
    <t>STC Bank|stc bank</t>
  </si>
  <si>
    <t>3281|*3281|***3281</t>
  </si>
  <si>
    <t>نشط</t>
  </si>
  <si>
    <t>Apple Pay - رسائل: شراء Apple Pay، رصيد غير كافي</t>
  </si>
  <si>
    <t>بطاقة ائتمان</t>
  </si>
  <si>
    <t>4495|*4495|***4495</t>
  </si>
  <si>
    <t>VISA - رسائل: Notification، شراء VISA، Upwork</t>
  </si>
  <si>
    <t>tiqmo|TIQMO</t>
  </si>
  <si>
    <t>0305|**0305|XXXX0305|5246XXXXXXXX0305</t>
  </si>
  <si>
    <t>MasterCard Apple Pay - رسائل: شراء POS، ECOM Purchase، Online Purchase</t>
  </si>
  <si>
    <t>حساب محفظة</t>
  </si>
  <si>
    <t>9682|**9682</t>
  </si>
  <si>
    <t>حساب tiqmo - Account No.</t>
  </si>
  <si>
    <t>AlrajhiBank|الراجحي|Alrajhi</t>
  </si>
  <si>
    <t>9765|من9765|من:9765</t>
  </si>
  <si>
    <t>حساب جاري - رسائل: حوالة داخلية صادرة</t>
  </si>
  <si>
    <t>حساب راتب</t>
  </si>
  <si>
    <t>9767|من9767|من:9767</t>
  </si>
  <si>
    <t>حساب الراتب - رسائل: حوالة محلية، شراء انترنت، إضافة أموال للمحافظ</t>
  </si>
  <si>
    <t>4912|*4912|بطاقة:4912</t>
  </si>
  <si>
    <t>مدى Apple Pay - رسائل: شراء انترنت من Tiqmo</t>
  </si>
  <si>
    <t>حساب خيري</t>
  </si>
  <si>
    <t>مؤسسة لبنات الوقفية</t>
  </si>
  <si>
    <t>ALBI|لبنات</t>
  </si>
  <si>
    <t>0005|الى:0005</t>
  </si>
  <si>
    <t>حساب خيري - حوالات صادرة</t>
  </si>
  <si>
    <t>D360 Bank</t>
  </si>
  <si>
    <t>D360|d360</t>
  </si>
  <si>
    <t>3449|*3449|بطاقة:*3449</t>
  </si>
  <si>
    <t>VISA &amp; Mada - رسائل: شراء دولي، سحب نقدي، عملية مرفوضة</t>
  </si>
  <si>
    <t>4912_D360</t>
  </si>
  <si>
    <t>*4912|بطاقة:*4912</t>
  </si>
  <si>
    <t>mada - رسائل: إضافة باستخدام آبل باي</t>
  </si>
  <si>
    <t>7815|*7815|إلى:*7815</t>
  </si>
  <si>
    <t>حساب محفظة - يستقبل إضافات</t>
  </si>
  <si>
    <t>Function</t>
  </si>
  <si>
    <t>Duration (ms)</t>
  </si>
  <si>
    <t>Error</t>
  </si>
  <si>
    <t>User</t>
  </si>
  <si>
    <t>Creditor/Debtor</t>
  </si>
  <si>
    <t>Credit (+)</t>
  </si>
  <si>
    <t>Debit (-)</t>
  </si>
  <si>
    <t>ParentUUID</t>
  </si>
  <si>
    <t>TXN-MKSB52U6-LV82</t>
  </si>
  <si>
    <t>حوالة داخلية صادرة - حساب تقمو</t>
  </si>
  <si>
    <t>TXN-MKSGRTKF-GDJ8</t>
  </si>
  <si>
    <t>حوالة داخلية صادرة - حسام المطيري</t>
  </si>
  <si>
    <t>📊 تحليل المصروفات حسب التصنيف</t>
  </si>
  <si>
    <t>Total</t>
  </si>
  <si>
    <t>Count</t>
  </si>
  <si>
    <t>% of Total</t>
  </si>
  <si>
    <t>Avg</t>
  </si>
  <si>
    <t>Merchant Pattern</t>
  </si>
  <si>
    <t>Budget Category</t>
  </si>
  <si>
    <t>Priority</t>
  </si>
  <si>
    <t>Auto-Apply</t>
  </si>
  <si>
    <t>ماكدونالدز|McDonald</t>
  </si>
  <si>
    <t>Fast food</t>
  </si>
  <si>
    <t>ستاربكس|Starbucks</t>
  </si>
  <si>
    <t>Coffee</t>
  </si>
  <si>
    <t>كارفور|Carrefour</t>
  </si>
  <si>
    <t>Supermarket</t>
  </si>
  <si>
    <t>بندة|Panda</t>
  </si>
  <si>
    <t>أوبر|Uber</t>
  </si>
  <si>
    <t>مواصلات</t>
  </si>
  <si>
    <t>Ride</t>
  </si>
  <si>
    <t>كريم|Careem</t>
  </si>
  <si>
    <t>نتفليكس|Netflix</t>
  </si>
  <si>
    <t>ترفيه</t>
  </si>
  <si>
    <t>اشتراك</t>
  </si>
  <si>
    <t>Streaming</t>
  </si>
  <si>
    <t>Apple|iTunes</t>
  </si>
  <si>
    <t>Digital</t>
  </si>
  <si>
    <t>STC|موبايلي|زين</t>
  </si>
  <si>
    <t>فاتورة</t>
  </si>
  <si>
    <t>Telecom</t>
  </si>
  <si>
    <t>كهرباء|SEC</t>
  </si>
  <si>
    <t>Utility</t>
  </si>
  <si>
    <t>راتب|Salary</t>
  </si>
  <si>
    <t>دخل</t>
  </si>
  <si>
    <t>Income</t>
  </si>
  <si>
    <t>حوالة|Transfer</t>
  </si>
  <si>
    <t>Transfer</t>
  </si>
  <si>
    <t>Budgeted</t>
  </si>
  <si>
    <t>Spent</t>
  </si>
  <si>
    <t>Remaining</t>
  </si>
  <si>
    <t>% Used</t>
  </si>
  <si>
    <t>Alert Threshold</t>
  </si>
  <si>
    <t>Auto-Budget</t>
  </si>
  <si>
    <t>Period</t>
  </si>
  <si>
    <t>LinkedUUIDs</t>
  </si>
  <si>
    <t>✅ آمن</t>
  </si>
  <si>
    <t>مطاعم ومقاهي</t>
  </si>
  <si>
    <t>مواصلات وبنزين</t>
  </si>
  <si>
    <t>فواتير ورسوم</t>
  </si>
  <si>
    <t>تسوق وملابس</t>
  </si>
  <si>
    <t>صحة وأدوية</t>
  </si>
  <si>
    <t>تعليم</t>
  </si>
  <si>
    <t>حوالات واردة</t>
  </si>
  <si>
    <t>🔴 تجاوز</t>
  </si>
  <si>
    <t>TXN-MKSL97GK-TIX6,TXN-MKSL9E64-WF59</t>
  </si>
  <si>
    <t>TXN-MKSL99MU-YEX1,TXN-MKSL99MU-YEX1,TXN-MKSLB70E-H510</t>
  </si>
  <si>
    <t>TXN-MKSL9A3V-9D96,TXN-MKSL9A3V-9D96,TXN-MKSL9FD7-G8RP</t>
  </si>
  <si>
    <t>حذف اختباري</t>
  </si>
  <si>
    <t>TXN-MKU83IU7-D529,TXN-MKU83IU7-D529,TXN-MKU8QW7L-2ERJ,TXN-MKU8TH6C-RB9M</t>
  </si>
  <si>
    <t>اسم المستخدم</t>
  </si>
  <si>
    <t>Telegram ID</t>
  </si>
  <si>
    <t>الحسابات</t>
  </si>
  <si>
    <t>البطاقات</t>
  </si>
  <si>
    <t>إجمالي العمليات</t>
  </si>
  <si>
    <t>آخر نشاط</t>
  </si>
  <si>
    <t>أحمد محمد</t>
  </si>
  <si>
    <t>سارة أحمد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</si>
</sst>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yyyy-MM-dd HH:mm:ss"/>
    <numFmt numFmtId="166" formatCode="yyyy-MM-dd HH:mm"/>
  </numFmts>
  <fonts count="11">
    <font>
      <sz val="10.0"/>
      <color rgb="FF000000"/>
      <name val="Arial"/>
      <scheme val="minor"/>
    </font>
    <font>
      <b/>
      <sz val="18.0"/>
      <color rgb="FFFFFFFF"/>
      <name val="Arial"/>
      <scheme val="minor"/>
    </font>
    <font/>
    <font>
      <color theme="1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b/>
      <sz val="10.0"/>
      <color rgb="FFFFFFFF"/>
      <name val="Arial"/>
    </font>
    <font>
      <sz val="10.0"/>
      <color theme="1"/>
      <name val="Arial"/>
    </font>
    <font>
      <b/>
      <sz val="10.0"/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667EEA"/>
        <bgColor rgb="FF667EEA"/>
      </patternFill>
    </fill>
    <fill>
      <patternFill patternType="solid">
        <fgColor rgb="FF764BA2"/>
        <bgColor rgb="FF764BA2"/>
      </patternFill>
    </fill>
    <fill>
      <patternFill patternType="solid">
        <fgColor rgb="FFF8F9FA"/>
        <bgColor rgb="FFF8F9FA"/>
      </patternFill>
    </fill>
    <fill>
      <patternFill patternType="solid">
        <fgColor rgb="FF4CAF50"/>
        <bgColor rgb="FF4CAF50"/>
      </patternFill>
    </fill>
    <fill>
      <patternFill patternType="solid">
        <fgColor rgb="FFFF9800"/>
        <bgColor rgb="FFFF9800"/>
      </patternFill>
    </fill>
    <fill>
      <patternFill patternType="solid">
        <fgColor rgb="FF2196F3"/>
        <bgColor rgb="FF2196F3"/>
      </patternFill>
    </fill>
    <fill>
      <patternFill patternType="solid">
        <fgColor rgb="FF4285F4"/>
        <bgColor rgb="FF4285F4"/>
      </patternFill>
    </fill>
    <fill>
      <patternFill patternType="solid">
        <fgColor rgb="FF607D8B"/>
        <bgColor rgb="FF607D8B"/>
      </patternFill>
    </fill>
    <fill>
      <patternFill patternType="solid">
        <fgColor rgb="FFF59E0B"/>
        <bgColor rgb="FFF59E0B"/>
      </patternFill>
    </fill>
    <fill>
      <patternFill patternType="solid">
        <fgColor rgb="FFEF4444"/>
        <bgColor rgb="FFEF4444"/>
      </patternFill>
    </fill>
    <fill>
      <patternFill patternType="solid">
        <fgColor rgb="FF6C757D"/>
        <bgColor rgb="FF6C757D"/>
      </patternFill>
    </fill>
    <fill>
      <patternFill patternType="solid">
        <fgColor rgb="FF10B981"/>
        <bgColor rgb="FF10B981"/>
      </patternFill>
    </fill>
  </fills>
  <borders count="5">
    <border/>
    <border>
      <left style="thin">
        <color rgb="FFE0E0E0"/>
      </left>
      <top style="thin">
        <color rgb="FFE0E0E0"/>
      </top>
      <bottom style="thin">
        <color rgb="FFE0E0E0"/>
      </bottom>
    </border>
    <border>
      <top style="thin">
        <color rgb="FFE0E0E0"/>
      </top>
      <bottom style="thin">
        <color rgb="FFE0E0E0"/>
      </bottom>
    </border>
    <border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0" fontId="3" numFmtId="0" xfId="0" applyBorder="1" applyFont="1"/>
    <xf borderId="1" fillId="3" fontId="4" numFmtId="0" xfId="0" applyAlignment="1" applyBorder="1" applyFill="1" applyFont="1">
      <alignment readingOrder="0"/>
    </xf>
    <xf borderId="4" fillId="4" fontId="5" numFmtId="0" xfId="0" applyAlignment="1" applyBorder="1" applyFill="1" applyFont="1">
      <alignment readingOrder="0"/>
    </xf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4" fillId="0" fontId="6" numFmtId="0" xfId="0" applyBorder="1" applyFont="1"/>
    <xf borderId="1" fillId="5" fontId="4" numFmtId="0" xfId="0" applyAlignment="1" applyBorder="1" applyFill="1" applyFont="1">
      <alignment readingOrder="0"/>
    </xf>
    <xf borderId="4" fillId="4" fontId="5" numFmtId="0" xfId="0" applyBorder="1" applyFont="1"/>
    <xf borderId="1" fillId="6" fontId="4" numFmtId="0" xfId="0" applyAlignment="1" applyBorder="1" applyFill="1" applyFont="1">
      <alignment readingOrder="0"/>
    </xf>
    <xf borderId="1" fillId="7" fontId="4" numFmtId="0" xfId="0" applyAlignment="1" applyBorder="1" applyFill="1" applyFont="1">
      <alignment readingOrder="0"/>
    </xf>
    <xf borderId="4" fillId="0" fontId="3" numFmtId="1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8" fontId="4" numFmtId="0" xfId="0" applyAlignment="1" applyFill="1" applyFont="1">
      <alignment horizontal="center" readingOrder="0"/>
    </xf>
    <xf borderId="0" fillId="8" fontId="4" numFmtId="0" xfId="0" applyAlignment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3" numFmtId="4" xfId="0" applyFont="1" applyNumberFormat="1"/>
    <xf borderId="0" fillId="0" fontId="3" numFmtId="165" xfId="0" applyFont="1" applyNumberFormat="1"/>
    <xf borderId="0" fillId="0" fontId="3" numFmtId="1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9" fontId="4" numFmtId="0" xfId="0" applyAlignment="1" applyFill="1" applyFont="1">
      <alignment readingOrder="0"/>
    </xf>
    <xf borderId="0" fillId="9" fontId="4" numFmtId="0" xfId="0" applyAlignment="1" applyFont="1">
      <alignment readingOrder="0"/>
    </xf>
    <xf borderId="0" fillId="0" fontId="3" numFmtId="166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2" fontId="8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/>
    </xf>
    <xf borderId="0" fillId="0" fontId="9" numFmtId="164" xfId="0" applyFont="1" applyNumberFormat="1"/>
    <xf borderId="0" fillId="0" fontId="9" numFmtId="0" xfId="0" applyFont="1"/>
    <xf borderId="0" fillId="0" fontId="9" numFmtId="0" xfId="0" applyFont="1"/>
    <xf borderId="0" fillId="0" fontId="9" numFmtId="4" xfId="0" applyFont="1" applyNumberFormat="1"/>
    <xf borderId="0" fillId="0" fontId="9" numFmtId="166" xfId="0" applyFont="1" applyNumberFormat="1"/>
    <xf borderId="0" fillId="10" fontId="4" numFmtId="0" xfId="0" applyAlignment="1" applyFill="1" applyFont="1">
      <alignment horizontal="center" readingOrder="0"/>
    </xf>
    <xf borderId="4" fillId="2" fontId="4" numFmtId="0" xfId="0" applyAlignment="1" applyBorder="1" applyFont="1">
      <alignment horizontal="center" readingOrder="0"/>
    </xf>
    <xf borderId="0" fillId="2" fontId="4" numFmtId="0" xfId="0" applyAlignment="1" applyFont="1">
      <alignment horizontal="right" readingOrder="0"/>
    </xf>
    <xf borderId="0" fillId="2" fontId="4" numFmtId="0" xfId="0" applyAlignment="1" applyFont="1">
      <alignment horizontal="center" readingOrder="0"/>
    </xf>
    <xf borderId="0" fillId="0" fontId="3" numFmtId="0" xfId="0" applyFont="1"/>
    <xf borderId="0" fillId="2" fontId="4" numFmtId="164" xfId="0" applyAlignment="1" applyFont="1" applyNumberFormat="1">
      <alignment horizontal="center" readingOrder="0"/>
    </xf>
    <xf borderId="0" fillId="2" fontId="4" numFmtId="0" xfId="0" applyAlignment="1" applyFont="1">
      <alignment horizontal="center" readingOrder="0"/>
    </xf>
    <xf borderId="0" fillId="2" fontId="4" numFmtId="0" xfId="0" applyAlignment="1" applyFont="1">
      <alignment horizontal="center"/>
    </xf>
    <xf borderId="0" fillId="2" fontId="4" numFmtId="0" xfId="0" applyAlignment="1" applyFont="1">
      <alignment horizontal="center" readingOrder="0"/>
    </xf>
    <xf borderId="0" fillId="2" fontId="4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readingOrder="0"/>
    </xf>
    <xf borderId="0" fillId="0" fontId="9" numFmtId="1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3" fontId="8" numFmtId="0" xfId="0" applyAlignment="1" applyFont="1">
      <alignment readingOrder="0"/>
    </xf>
    <xf borderId="0" fillId="3" fontId="8" numFmtId="14" xfId="0" applyAlignment="1" applyFont="1" applyNumberFormat="1">
      <alignment readingOrder="0"/>
    </xf>
    <xf borderId="0" fillId="11" fontId="4" numFmtId="0" xfId="0" applyAlignment="1" applyFill="1" applyFont="1">
      <alignment horizontal="center" readingOrder="0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12" fontId="8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0" fillId="0" fontId="9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13" fontId="8" numFmtId="0" xfId="0" applyAlignment="1" applyFill="1" applyFont="1">
      <alignment horizontal="center" readingOrder="0"/>
    </xf>
    <xf borderId="0" fillId="0" fontId="10" numFmtId="0" xfId="0" applyAlignment="1" applyFont="1">
      <alignment horizontal="center"/>
    </xf>
    <xf borderId="0" fillId="13" fontId="8" numFmtId="0" xfId="0" applyAlignment="1" applyFont="1">
      <alignment horizontal="center" readingOrder="0"/>
    </xf>
    <xf borderId="0" fillId="3" fontId="8" numFmtId="0" xfId="0" applyAlignment="1" applyFont="1">
      <alignment horizontal="center" readingOrder="0"/>
    </xf>
    <xf borderId="0" fillId="3" fontId="8" numFmtId="0" xfId="0" applyAlignment="1" applyFont="1">
      <alignment horizontal="center"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color rgb="FF0C6B58"/>
      </font>
      <fill>
        <patternFill patternType="solid">
          <fgColor rgb="FFD1F2EB"/>
          <bgColor rgb="FFD1F2EB"/>
        </patternFill>
      </fill>
      <border/>
    </dxf>
    <dxf>
      <font>
        <color rgb="FF721C24"/>
      </font>
      <fill>
        <patternFill patternType="solid">
          <fgColor rgb="FFF8D7DA"/>
          <bgColor rgb="FFF8D7DA"/>
        </patternFill>
      </fill>
      <border/>
    </dxf>
  </dxfs>
  <tableStyles count="4">
    <tableStyle count="3" pivot="0" name="Goals-style">
      <tableStyleElement dxfId="1" type="headerRow"/>
      <tableStyleElement dxfId="2" type="firstRowStripe"/>
      <tableStyleElement dxfId="3" type="secondRowStripe"/>
    </tableStyle>
    <tableStyle count="3" pivot="0" name="Recurring-style">
      <tableStyleElement dxfId="1" type="headerRow"/>
      <tableStyleElement dxfId="2" type="firstRowStripe"/>
      <tableStyleElement dxfId="3" type="secondRowStripe"/>
    </tableStyle>
    <tableStyle count="3" pivot="0" name="UserData-style">
      <tableStyleElement dxfId="1" type="headerRow"/>
      <tableStyleElement dxfId="2" type="firstRowStripe"/>
      <tableStyleElement dxfId="3" type="secondRowStripe"/>
    </tableStyle>
    <tableStyle count="3" pivot="0" name="Balance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توزيع المصروفات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667EEA"/>
              </a:solidFill>
            </c:spPr>
          </c:dPt>
          <c:dPt>
            <c:idx val="1"/>
            <c:spPr>
              <a:solidFill>
                <a:srgbClr val="764BA2"/>
              </a:solidFill>
            </c:spPr>
          </c:dPt>
          <c:dPt>
            <c:idx val="2"/>
            <c:spPr>
              <a:solidFill>
                <a:srgbClr val="10B981"/>
              </a:solidFill>
            </c:spPr>
          </c:dPt>
          <c:dPt>
            <c:idx val="3"/>
            <c:spPr>
              <a:solidFill>
                <a:srgbClr val="FFC107"/>
              </a:solidFill>
            </c:spPr>
          </c:dPt>
          <c:dPt>
            <c:idx val="4"/>
            <c:spPr>
              <a:solidFill>
                <a:srgbClr val="EF4444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Pt>
            <c:idx val="20"/>
            <c:spPr>
              <a:solidFill>
                <a:srgbClr val="FFF8E6"/>
              </a:solidFill>
            </c:spPr>
          </c:dPt>
          <c:dPt>
            <c:idx val="21"/>
            <c:spPr>
              <a:solidFill>
                <a:srgbClr val="EBF6EE"/>
              </a:solidFill>
            </c:spPr>
          </c:dPt>
          <c:dPt>
            <c:idx val="22"/>
            <c:spPr>
              <a:solidFill>
                <a:srgbClr val="FFF0E6"/>
              </a:solidFill>
            </c:spPr>
          </c:dPt>
          <c:dPt>
            <c:idx val="23"/>
            <c:spPr>
              <a:solidFill>
                <a:srgbClr val="EDF8F9"/>
              </a:solidFill>
            </c:spPr>
          </c:dPt>
          <c:dPt>
            <c:idx val="24"/>
            <c:spPr>
              <a:solidFill>
                <a:srgbClr val="251701"/>
              </a:solidFill>
            </c:spPr>
          </c:dPt>
          <c:dPt>
            <c:idx val="25"/>
            <c:spPr>
              <a:solidFill>
                <a:srgbClr val="032527"/>
              </a:solidFill>
            </c:spPr>
          </c:dPt>
          <c:dPt>
            <c:idx val="26"/>
            <c:spPr>
              <a:solidFill>
                <a:srgbClr val="000C31"/>
              </a:solidFill>
            </c:spPr>
          </c:dPt>
          <c:dPt>
            <c:idx val="27"/>
            <c:spPr>
              <a:solidFill>
                <a:srgbClr val="281021"/>
              </a:solidFill>
            </c:spPr>
          </c:dPt>
          <c:dPt>
            <c:idx val="28"/>
            <c:spPr>
              <a:solidFill>
                <a:srgbClr val="FF1C32"/>
              </a:solidFill>
            </c:spPr>
          </c:dPt>
          <c:dPt>
            <c:idx val="29"/>
            <c:spPr>
              <a:solidFill>
                <a:srgbClr val="240C0A"/>
              </a:solidFill>
            </c:spPr>
          </c:dPt>
          <c:dPt>
            <c:idx val="30"/>
            <c:spPr>
              <a:solidFill>
                <a:srgbClr val="5E3C05"/>
              </a:solidFill>
            </c:spPr>
          </c:dPt>
          <c:dPt>
            <c:idx val="31"/>
            <c:spPr>
              <a:solidFill>
                <a:srgbClr val="0A5D64"/>
              </a:solidFill>
            </c:spPr>
          </c:dPt>
          <c:dPt>
            <c:idx val="32"/>
            <c:spPr>
              <a:solidFill>
                <a:srgbClr val="01217D"/>
              </a:solidFill>
            </c:spPr>
          </c:dPt>
          <c:dPt>
            <c:idx val="33"/>
            <c:spPr>
              <a:solidFill>
                <a:srgbClr val="652B55"/>
              </a:solidFill>
            </c:spPr>
          </c:dPt>
          <c:dPt>
            <c:idx val="34"/>
            <c:spPr>
              <a:solidFill>
                <a:srgbClr val="FF487E"/>
              </a:solidFill>
            </c:spPr>
          </c:dPt>
          <c:dPt>
            <c:idx val="35"/>
            <c:spPr>
              <a:solidFill>
                <a:srgbClr val="5C201C"/>
              </a:solidFill>
            </c:spPr>
          </c:dPt>
          <c:dPt>
            <c:idx val="36"/>
            <c:spPr>
              <a:solidFill>
                <a:srgbClr val="966108"/>
              </a:solidFill>
            </c:spPr>
          </c:dPt>
          <c:dPt>
            <c:idx val="37"/>
            <c:spPr>
              <a:solidFill>
                <a:srgbClr val="1095A1"/>
              </a:solidFill>
            </c:spPr>
          </c:dPt>
          <c:dPt>
            <c:idx val="38"/>
            <c:spPr>
              <a:solidFill>
                <a:srgbClr val="0235C8"/>
              </a:solidFill>
            </c:spPr>
          </c:dPt>
          <c:dPt>
            <c:idx val="39"/>
            <c:spPr>
              <a:solidFill>
                <a:srgbClr val="A14589"/>
              </a:solidFill>
            </c:spPr>
          </c:dPt>
          <c:dPt>
            <c:idx val="40"/>
            <c:spPr>
              <a:solidFill>
                <a:srgbClr val="FF74CA"/>
              </a:solidFill>
            </c:spPr>
          </c:dPt>
          <c:dPt>
            <c:idx val="41"/>
            <c:spPr>
              <a:solidFill>
                <a:srgbClr val="93342D"/>
              </a:solidFill>
            </c:spPr>
          </c:dPt>
          <c:dPt>
            <c:idx val="42"/>
            <c:spPr>
              <a:solidFill>
                <a:srgbClr val="CF850B"/>
              </a:solidFill>
            </c:spPr>
          </c:dPt>
          <c:dPt>
            <c:idx val="43"/>
            <c:spPr>
              <a:solidFill>
                <a:srgbClr val="16CEDD"/>
              </a:solidFill>
            </c:spPr>
          </c:dPt>
          <c:dPt>
            <c:idx val="44"/>
            <c:spPr>
              <a:solidFill>
                <a:srgbClr val="034913"/>
              </a:solidFill>
            </c:spPr>
          </c:dPt>
          <c:dPt>
            <c:idx val="45"/>
            <c:spPr>
              <a:solidFill>
                <a:srgbClr val="DE5FBC"/>
              </a:solidFill>
            </c:spPr>
          </c:dPt>
          <c:dPt>
            <c:idx val="46"/>
            <c:spPr>
              <a:solidFill>
                <a:srgbClr val="FFA016"/>
              </a:solidFill>
            </c:spPr>
          </c:dPt>
          <c:dPt>
            <c:idx val="47"/>
            <c:spPr>
              <a:solidFill>
                <a:srgbClr val="CA483E"/>
              </a:solidFill>
            </c:spPr>
          </c:dPt>
          <c:dPt>
            <c:idx val="48"/>
            <c:spPr>
              <a:solidFill>
                <a:srgbClr val="08AA0E"/>
              </a:solidFill>
            </c:spPr>
          </c:dPt>
          <c:dPt>
            <c:idx val="49"/>
            <c:spPr>
              <a:solidFill>
                <a:srgbClr val="1C061A"/>
              </a:solidFill>
            </c:spPr>
          </c:dPt>
          <c:dPt>
            <c:idx val="50"/>
            <c:spPr>
              <a:solidFill>
                <a:srgbClr val="055D5E"/>
              </a:solidFill>
            </c:spPr>
          </c:dPt>
          <c:dPt>
            <c:idx val="51"/>
            <c:spPr>
              <a:solidFill>
                <a:srgbClr val="1B79F0"/>
              </a:solidFill>
            </c:spPr>
          </c:dPt>
          <c:dPt>
            <c:idx val="52"/>
            <c:spPr>
              <a:solidFill>
                <a:srgbClr val="FFCB63"/>
              </a:solidFill>
            </c:spPr>
          </c:dPt>
          <c:dPt>
            <c:idx val="53"/>
            <c:spPr>
              <a:solidFill>
                <a:srgbClr val="025B4F"/>
              </a:solidFill>
            </c:spPr>
          </c:dPt>
          <c:dPt>
            <c:idx val="54"/>
            <c:spPr>
              <a:solidFill>
                <a:srgbClr val="40CE12"/>
              </a:solidFill>
            </c:spPr>
          </c:dPt>
          <c:dPt>
            <c:idx val="55"/>
            <c:spPr>
              <a:solidFill>
                <a:srgbClr val="233F56"/>
              </a:solidFill>
            </c:spPr>
          </c:dPt>
          <c:dPt>
            <c:idx val="56"/>
            <c:spPr>
              <a:solidFill>
                <a:srgbClr val="0671AA"/>
              </a:solidFill>
            </c:spPr>
          </c:dPt>
          <c:dPt>
            <c:idx val="57"/>
            <c:spPr>
              <a:solidFill>
                <a:srgbClr val="589323"/>
              </a:solidFill>
            </c:spPr>
          </c:dPt>
          <c:dPt>
            <c:idx val="58"/>
            <c:spPr>
              <a:solidFill>
                <a:srgbClr val="FFF7AF"/>
              </a:solidFill>
            </c:spPr>
          </c:dPt>
          <c:dPt>
            <c:idx val="59"/>
            <c:spPr>
              <a:solidFill>
                <a:srgbClr val="3A6F60"/>
              </a:solidFill>
            </c:spPr>
          </c:dPt>
          <c:dPt>
            <c:idx val="60"/>
            <c:spPr>
              <a:solidFill>
                <a:srgbClr val="79F315"/>
              </a:solidFill>
            </c:spPr>
          </c:dPt>
          <c:dPt>
            <c:idx val="61"/>
            <c:spPr>
              <a:solidFill>
                <a:srgbClr val="297793"/>
              </a:solidFill>
            </c:spPr>
          </c:dPt>
          <c:dPt>
            <c:idx val="62"/>
            <c:spPr>
              <a:solidFill>
                <a:srgbClr val="0785F5"/>
              </a:solidFill>
            </c:spPr>
          </c:dPt>
          <c:dPt>
            <c:idx val="63"/>
            <c:spPr>
              <a:solidFill>
                <a:srgbClr val="95AD57"/>
              </a:solidFill>
            </c:spPr>
          </c:dPt>
          <c:dPt>
            <c:idx val="64"/>
            <c:spPr>
              <a:solidFill>
                <a:srgbClr val="FF23FB"/>
              </a:solidFill>
            </c:spPr>
          </c:dPt>
          <c:dPt>
            <c:idx val="65"/>
            <c:spPr>
              <a:solidFill>
                <a:srgbClr val="718371"/>
              </a:solidFill>
            </c:spPr>
          </c:dPt>
          <c:dPt>
            <c:idx val="66"/>
            <c:spPr>
              <a:solidFill>
                <a:srgbClr val="B21818"/>
              </a:solidFill>
            </c:spPr>
          </c:dPt>
          <c:dPt>
            <c:idx val="67"/>
            <c:spPr>
              <a:solidFill>
                <a:srgbClr val="2FAFD0"/>
              </a:solidFill>
            </c:spPr>
          </c:dPt>
          <c:dPt>
            <c:idx val="68"/>
            <c:spPr>
              <a:solidFill>
                <a:srgbClr val="089940"/>
              </a:solidFill>
            </c:spPr>
          </c:dPt>
          <c:dPt>
            <c:idx val="69"/>
            <c:spPr>
              <a:solidFill>
                <a:srgbClr val="D2C78B"/>
              </a:solidFill>
            </c:spPr>
          </c:dPt>
          <c:dPt>
            <c:idx val="70"/>
            <c:spPr>
              <a:solidFill>
                <a:srgbClr val="FF4F47"/>
              </a:solidFill>
            </c:spPr>
          </c:dPt>
          <c:dPt>
            <c:idx val="71"/>
            <c:spPr>
              <a:solidFill>
                <a:srgbClr val="A99782"/>
              </a:solidFill>
            </c:spPr>
          </c:dPt>
          <c:dPt>
            <c:idx val="72"/>
            <c:spPr>
              <a:solidFill>
                <a:srgbClr val="EA3C1C"/>
              </a:solidFill>
            </c:spPr>
          </c:dPt>
          <c:dPt>
            <c:idx val="73"/>
            <c:spPr>
              <a:solidFill>
                <a:srgbClr val="36E80C"/>
              </a:solidFill>
            </c:spPr>
          </c:dPt>
          <c:dPt>
            <c:idx val="74"/>
            <c:spPr>
              <a:solidFill>
                <a:srgbClr val="09AD8C"/>
              </a:solidFill>
            </c:spPr>
          </c:dPt>
          <c:dPt>
            <c:idx val="75"/>
            <c:spPr>
              <a:solidFill>
                <a:srgbClr val="0FE1BE"/>
              </a:solidFill>
            </c:spPr>
          </c:dPt>
          <c:dPt>
            <c:idx val="76"/>
            <c:spPr>
              <a:solidFill>
                <a:srgbClr val="FF7B93"/>
              </a:solidFill>
            </c:spPr>
          </c:dPt>
          <c:dPt>
            <c:idx val="77"/>
            <c:spPr>
              <a:solidFill>
                <a:srgbClr val="E0AB93"/>
              </a:solidFill>
            </c:spPr>
          </c:dPt>
          <c:dPt>
            <c:idx val="78"/>
            <c:spPr>
              <a:solidFill>
                <a:srgbClr val="23611F"/>
              </a:solidFill>
            </c:spPr>
          </c:dPt>
          <c:dPt>
            <c:idx val="79"/>
            <c:spPr>
              <a:solidFill>
                <a:srgbClr val="3C2049"/>
              </a:solidFill>
            </c:spPr>
          </c:dPt>
          <c:dPt>
            <c:idx val="80"/>
            <c:spPr>
              <a:solidFill>
                <a:srgbClr val="0BC1D7"/>
              </a:solidFill>
            </c:spPr>
          </c:dPt>
          <c:dPt>
            <c:idx val="81"/>
            <c:spPr>
              <a:solidFill>
                <a:srgbClr val="4CFBF2"/>
              </a:solidFill>
            </c:spPr>
          </c:dPt>
          <c:dPt>
            <c:idx val="82"/>
            <c:spPr>
              <a:solidFill>
                <a:srgbClr val="FFA6E0"/>
              </a:solidFill>
            </c:spPr>
          </c:dPt>
          <c:dPt>
            <c:idx val="83"/>
            <c:spPr>
              <a:solidFill>
                <a:srgbClr val="18BEA4"/>
              </a:solidFill>
            </c:spPr>
          </c:dPt>
          <c:dPt>
            <c:idx val="84"/>
            <c:spPr>
              <a:solidFill>
                <a:srgbClr val="5C8522"/>
              </a:solidFill>
            </c:spPr>
          </c:dPt>
          <c:dPt>
            <c:idx val="85"/>
            <c:spPr>
              <a:solidFill>
                <a:srgbClr val="425985"/>
              </a:solidFill>
            </c:spPr>
          </c:dPt>
          <c:dPt>
            <c:idx val="86"/>
            <c:spPr>
              <a:solidFill>
                <a:srgbClr val="0CD522"/>
              </a:solidFill>
            </c:spPr>
          </c:dPt>
          <c:dPt>
            <c:idx val="87"/>
            <c:spPr>
              <a:solidFill>
                <a:srgbClr val="891525"/>
              </a:solidFill>
            </c:spPr>
          </c:dPt>
          <c:dPt>
            <c:idx val="88"/>
            <c:spPr>
              <a:solidFill>
                <a:srgbClr val="FFD22C"/>
              </a:solidFill>
            </c:spPr>
          </c:dPt>
          <c:dPt>
            <c:idx val="89"/>
            <c:spPr>
              <a:solidFill>
                <a:srgbClr val="4FD2B5"/>
              </a:solidFill>
            </c:spPr>
          </c:dPt>
          <c:dPt>
            <c:idx val="90"/>
            <c:spPr>
              <a:solidFill>
                <a:srgbClr val="95AA26"/>
              </a:solidFill>
            </c:spPr>
          </c:dPt>
          <c:dPt>
            <c:idx val="91"/>
            <c:spPr>
              <a:solidFill>
                <a:srgbClr val="4991C2"/>
              </a:solidFill>
            </c:spPr>
          </c:dPt>
          <c:dPt>
            <c:idx val="92"/>
            <c:spPr>
              <a:solidFill>
                <a:srgbClr val="0DEA6E"/>
              </a:solidFill>
            </c:spPr>
          </c:dPt>
          <c:dPt>
            <c:idx val="93"/>
            <c:spPr>
              <a:solidFill>
                <a:srgbClr val="C63059"/>
              </a:solidFill>
            </c:spPr>
          </c:dPt>
          <c:dPt>
            <c:idx val="94"/>
            <c:spPr>
              <a:solidFill>
                <a:srgbClr val="FFFE78"/>
              </a:solidFill>
            </c:spPr>
          </c:dPt>
          <c:dPt>
            <c:idx val="95"/>
            <c:spPr>
              <a:solidFill>
                <a:srgbClr val="87E6C7"/>
              </a:solidFill>
            </c:spPr>
          </c:dPt>
          <c:dPt>
            <c:idx val="96"/>
            <c:spPr>
              <a:solidFill>
                <a:srgbClr val="CDCF29"/>
              </a:solidFill>
            </c:spPr>
          </c:dPt>
          <c:dPt>
            <c:idx val="97"/>
            <c:spPr>
              <a:solidFill>
                <a:srgbClr val="4FC9FF"/>
              </a:solidFill>
            </c:spPr>
          </c:dPt>
          <c:dPt>
            <c:idx val="98"/>
            <c:spPr>
              <a:solidFill>
                <a:srgbClr val="0EFEB9"/>
              </a:solidFill>
            </c:spPr>
          </c:dPt>
          <c:dPt>
            <c:idx val="99"/>
            <c:spPr>
              <a:solidFill>
                <a:srgbClr val="024A8D"/>
              </a:solidFill>
            </c:spPr>
          </c:dPt>
          <c:dPt>
            <c:idx val="100"/>
            <c:spPr>
              <a:solidFill>
                <a:srgbClr val="FF2AC4"/>
              </a:solidFill>
            </c:spPr>
          </c:dPt>
          <c:dPt>
            <c:idx val="101"/>
            <c:spPr>
              <a:solidFill>
                <a:srgbClr val="BEFAD8"/>
              </a:solidFill>
            </c:spPr>
          </c:dPt>
          <c:dPt>
            <c:idx val="102"/>
            <c:spPr>
              <a:solidFill>
                <a:srgbClr val="06F32C"/>
              </a:solidFill>
            </c:spPr>
          </c:dPt>
          <c:dPt>
            <c:idx val="103"/>
            <c:spPr>
              <a:solidFill>
                <a:srgbClr val="55023B"/>
              </a:solidFill>
            </c:spPr>
          </c:dPt>
          <c:dPt>
            <c:idx val="104"/>
            <c:spPr>
              <a:solidFill>
                <a:srgbClr val="0F1204"/>
              </a:solidFill>
            </c:spPr>
          </c:dPt>
          <c:dPt>
            <c:idx val="105"/>
            <c:spPr>
              <a:solidFill>
                <a:srgbClr val="3F64C0"/>
              </a:solidFill>
            </c:spPr>
          </c:dPt>
          <c:dPt>
            <c:idx val="106"/>
            <c:spPr>
              <a:solidFill>
                <a:srgbClr val="FF5610"/>
              </a:solidFill>
            </c:spPr>
          </c:dPt>
          <c:dPt>
            <c:idx val="107"/>
            <c:spPr>
              <a:solidFill>
                <a:srgbClr val="F60EE9"/>
              </a:solidFill>
            </c:spPr>
          </c:dPt>
          <c:dPt>
            <c:idx val="108"/>
            <c:spPr>
              <a:solidFill>
                <a:srgbClr val="3F182F"/>
              </a:solidFill>
            </c:spPr>
          </c:dPt>
          <c:dPt>
            <c:idx val="109"/>
            <c:spPr>
              <a:solidFill>
                <a:srgbClr val="5B3A78"/>
              </a:solidFill>
            </c:spPr>
          </c:dPt>
          <c:dPt>
            <c:idx val="110"/>
            <c:spPr>
              <a:solidFill>
                <a:srgbClr val="11264F"/>
              </a:solidFill>
            </c:spPr>
          </c:dPt>
          <c:dPt>
            <c:idx val="111"/>
            <c:spPr>
              <a:solidFill>
                <a:srgbClr val="7C7EF4"/>
              </a:solidFill>
            </c:spPr>
          </c:dPt>
          <c:dPt>
            <c:idx val="112"/>
            <c:spPr>
              <a:solidFill>
                <a:srgbClr val="FF815D"/>
              </a:solidFill>
            </c:spPr>
          </c:dPt>
          <c:dPt>
            <c:idx val="113"/>
            <c:spPr>
              <a:solidFill>
                <a:srgbClr val="2D21FA"/>
              </a:solidFill>
            </c:spPr>
          </c:dPt>
          <c:dPt>
            <c:idx val="114"/>
            <c:spPr>
              <a:solidFill>
                <a:srgbClr val="773C33"/>
              </a:solidFill>
            </c:spPr>
          </c:dPt>
          <c:dPt>
            <c:idx val="115"/>
            <c:spPr>
              <a:solidFill>
                <a:srgbClr val="6273B4"/>
              </a:solidFill>
            </c:spPr>
          </c:dPt>
          <c:dPt>
            <c:idx val="116"/>
            <c:spPr>
              <a:solidFill>
                <a:srgbClr val="123A9B"/>
              </a:solidFill>
            </c:spPr>
          </c:dPt>
          <c:dPt>
            <c:idx val="117"/>
            <c:spPr>
              <a:solidFill>
                <a:srgbClr val="B99827"/>
              </a:solidFill>
            </c:spPr>
          </c:dPt>
          <c:dPt>
            <c:idx val="118"/>
            <c:spPr>
              <a:solidFill>
                <a:srgbClr val="FFADA9"/>
              </a:solidFill>
            </c:spPr>
          </c:dPt>
          <c:dPt>
            <c:idx val="119"/>
            <c:spPr>
              <a:solidFill>
                <a:srgbClr val="65350B"/>
              </a:solidFill>
            </c:spPr>
          </c:dPt>
          <c:dPt>
            <c:idx val="120"/>
            <c:spPr>
              <a:solidFill>
                <a:srgbClr val="B06136"/>
              </a:solidFill>
            </c:spPr>
          </c:dPt>
          <c:dPt>
            <c:idx val="121"/>
            <c:spPr>
              <a:solidFill>
                <a:srgbClr val="68ABF1"/>
              </a:solidFill>
            </c:spPr>
          </c:dPt>
          <c:dPt>
            <c:idx val="122"/>
            <c:spPr>
              <a:solidFill>
                <a:srgbClr val="134EE6"/>
              </a:solidFill>
            </c:spPr>
          </c:dPt>
          <c:dPt>
            <c:idx val="123"/>
            <c:spPr>
              <a:solidFill>
                <a:srgbClr val="F6B25B"/>
              </a:solidFill>
            </c:spPr>
          </c:dPt>
          <c:dPt>
            <c:idx val="124"/>
            <c:spPr>
              <a:solidFill>
                <a:srgbClr val="FFD9F5"/>
              </a:solidFill>
            </c:spPr>
          </c:dPt>
          <c:dPt>
            <c:idx val="125"/>
            <c:spPr>
              <a:solidFill>
                <a:srgbClr val="9C491C"/>
              </a:solidFill>
            </c:spPr>
          </c:dPt>
          <c:dPt>
            <c:idx val="126"/>
            <c:spPr>
              <a:solidFill>
                <a:srgbClr val="E98639"/>
              </a:solidFill>
            </c:spPr>
          </c:dPt>
          <c:dPt>
            <c:idx val="127"/>
            <c:spPr>
              <a:solidFill>
                <a:srgbClr val="6EE32E"/>
              </a:solidFill>
            </c:spPr>
          </c:dPt>
          <c:dPt>
            <c:idx val="128"/>
            <c:spPr>
              <a:solidFill>
                <a:srgbClr val="146231"/>
              </a:solidFill>
            </c:spPr>
          </c:dPt>
          <c:dPt>
            <c:idx val="129"/>
            <c:spPr>
              <a:solidFill>
                <a:srgbClr val="33CC8F"/>
              </a:solidFill>
            </c:spPr>
          </c:dPt>
          <c:dPt>
            <c:idx val="130"/>
            <c:spPr>
              <a:solidFill>
                <a:srgbClr val="FF0541"/>
              </a:solidFill>
            </c:spPr>
          </c:dPt>
          <c:dPt>
            <c:idx val="131"/>
            <c:spPr>
              <a:solidFill>
                <a:srgbClr val="D45D2D"/>
              </a:solidFill>
            </c:spPr>
          </c:dPt>
          <c:dPt>
            <c:idx val="132"/>
            <c:spPr>
              <a:solidFill>
                <a:srgbClr val="21AA3D"/>
              </a:solidFill>
            </c:spPr>
          </c:dPt>
          <c:dPt>
            <c:idx val="133"/>
            <c:spPr>
              <a:solidFill>
                <a:srgbClr val="751C6A"/>
              </a:solidFill>
            </c:spPr>
          </c:dPt>
          <c:dPt>
            <c:idx val="134"/>
            <c:spPr>
              <a:solidFill>
                <a:srgbClr val="15767D"/>
              </a:solidFill>
            </c:spPr>
          </c:dPt>
          <c:dPt>
            <c:idx val="135"/>
            <c:spPr>
              <a:solidFill>
                <a:srgbClr val="70E6C2"/>
              </a:solidFill>
            </c:spPr>
          </c:dPt>
          <c:dPt>
            <c:idx val="136"/>
            <c:spPr>
              <a:solidFill>
                <a:srgbClr val="FF318D"/>
              </a:solidFill>
            </c:spPr>
          </c:dPt>
          <c:dPt>
            <c:idx val="137"/>
            <c:spPr>
              <a:solidFill>
                <a:srgbClr val="0B713E"/>
              </a:solidFill>
            </c:spPr>
          </c:dPt>
          <c:dPt>
            <c:idx val="138"/>
            <c:spPr>
              <a:solidFill>
                <a:srgbClr val="5ACF40"/>
              </a:solidFill>
            </c:spPr>
          </c:dPt>
          <c:dPt>
            <c:idx val="139"/>
            <c:spPr>
              <a:solidFill>
                <a:srgbClr val="7B54A7"/>
              </a:solidFill>
            </c:spPr>
          </c:dPt>
          <c:dPt>
            <c:idx val="140"/>
            <c:spPr>
              <a:solidFill>
                <a:srgbClr val="178AC8"/>
              </a:solidFill>
            </c:spPr>
          </c:dPt>
          <c:dPt>
            <c:idx val="141"/>
            <c:spPr>
              <a:solidFill>
                <a:srgbClr val="AD00F6"/>
              </a:solidFill>
            </c:spPr>
          </c:dPt>
          <c:dPt>
            <c:idx val="142"/>
            <c:spPr>
              <a:solidFill>
                <a:srgbClr val="FF5CDA"/>
              </a:solidFill>
            </c:spPr>
          </c:dPt>
          <c:dPt>
            <c:idx val="143"/>
            <c:spPr>
              <a:solidFill>
                <a:srgbClr val="43844F"/>
              </a:solidFill>
            </c:spPr>
          </c:dPt>
          <c:dPt>
            <c:idx val="144"/>
            <c:spPr>
              <a:solidFill>
                <a:srgbClr val="93F343"/>
              </a:solidFill>
            </c:spPr>
          </c:dPt>
          <c:dPt>
            <c:idx val="145"/>
            <c:spPr>
              <a:solidFill>
                <a:srgbClr val="818DE3"/>
              </a:solidFill>
            </c:spPr>
          </c:dPt>
          <c:dPt>
            <c:idx val="146"/>
            <c:spPr>
              <a:solidFill>
                <a:srgbClr val="189E13"/>
              </a:solidFill>
            </c:spPr>
          </c:dPt>
          <c:dPt>
            <c:idx val="147"/>
            <c:spPr>
              <a:solidFill>
                <a:srgbClr val="EA1A29"/>
              </a:solidFill>
            </c:spPr>
          </c:dPt>
          <c:dPt>
            <c:idx val="148"/>
            <c:spPr>
              <a:solidFill>
                <a:srgbClr val="FF8826"/>
              </a:solidFill>
            </c:spPr>
          </c:dPt>
          <c:dPt>
            <c:idx val="149"/>
            <c:spPr>
              <a:solidFill>
                <a:srgbClr val="7A9860"/>
              </a:solidFill>
            </c:spPr>
          </c:dPt>
          <c:dPt>
            <c:idx val="150"/>
            <c:spPr>
              <a:solidFill>
                <a:srgbClr val="CC1847"/>
              </a:solidFill>
            </c:spPr>
          </c:dPt>
          <c:dPt>
            <c:idx val="151"/>
            <c:spPr>
              <a:solidFill>
                <a:srgbClr val="88C520"/>
              </a:solidFill>
            </c:spPr>
          </c:dPt>
          <c:dPt>
            <c:idx val="152"/>
            <c:spPr>
              <a:solidFill>
                <a:srgbClr val="19B35F"/>
              </a:solidFill>
            </c:spPr>
          </c:dPt>
          <c:dPt>
            <c:idx val="153"/>
            <c:spPr>
              <a:solidFill>
                <a:srgbClr val="27355D"/>
              </a:solidFill>
            </c:spPr>
          </c:dPt>
          <c:dPt>
            <c:idx val="154"/>
            <c:spPr>
              <a:solidFill>
                <a:srgbClr val="FFB472"/>
              </a:solidFill>
            </c:spPr>
          </c:dPt>
          <c:dPt>
            <c:idx val="155"/>
            <c:spPr>
              <a:solidFill>
                <a:srgbClr val="B2AC72"/>
              </a:solidFill>
            </c:spPr>
          </c:dPt>
          <c:dPt>
            <c:idx val="156"/>
            <c:spPr>
              <a:solidFill>
                <a:srgbClr val="043D4A"/>
              </a:solidFill>
            </c:spPr>
          </c:dPt>
          <c:dPt>
            <c:idx val="157"/>
            <c:spPr>
              <a:solidFill>
                <a:srgbClr val="8EFD5D"/>
              </a:solidFill>
            </c:spPr>
          </c:dPt>
          <c:dPt>
            <c:idx val="158"/>
            <c:spPr>
              <a:solidFill>
                <a:srgbClr val="1AC7AA"/>
              </a:solidFill>
            </c:spPr>
          </c:dPt>
          <c:dPt>
            <c:idx val="159"/>
            <c:spPr>
              <a:solidFill>
                <a:srgbClr val="634F91"/>
              </a:solidFill>
            </c:spPr>
          </c:dPt>
          <c:dPt>
            <c:idx val="160"/>
            <c:spPr>
              <a:solidFill>
                <a:srgbClr val="FFE0BE"/>
              </a:solidFill>
            </c:spPr>
          </c:dPt>
          <c:dPt>
            <c:idx val="161"/>
            <c:spPr>
              <a:solidFill>
                <a:srgbClr val="E9C083"/>
              </a:solidFill>
            </c:spPr>
          </c:dPt>
          <c:dPt>
            <c:idx val="162"/>
            <c:spPr>
              <a:solidFill>
                <a:srgbClr val="3D614D"/>
              </a:solidFill>
            </c:spPr>
          </c:dPt>
          <c:dPt>
            <c:idx val="163"/>
            <c:spPr>
              <a:solidFill>
                <a:srgbClr val="943699"/>
              </a:solidFill>
            </c:spPr>
          </c:dPt>
          <c:dPt>
            <c:idx val="164"/>
            <c:spPr>
              <a:solidFill>
                <a:srgbClr val="1BDBF5"/>
              </a:solidFill>
            </c:spPr>
          </c:dPt>
          <c:dPt>
            <c:idx val="165"/>
            <c:spPr>
              <a:solidFill>
                <a:srgbClr val="A069C4"/>
              </a:solidFill>
            </c:spPr>
          </c:dPt>
          <c:dPt>
            <c:idx val="166"/>
            <c:spPr>
              <a:solidFill>
                <a:srgbClr val="FF0C0A"/>
              </a:solidFill>
            </c:spPr>
          </c:dPt>
          <c:dPt>
            <c:idx val="167"/>
            <c:spPr>
              <a:solidFill>
                <a:srgbClr val="21D494"/>
              </a:solidFill>
            </c:spPr>
          </c:dPt>
          <c:dPt>
            <c:idx val="168"/>
            <c:spPr>
              <a:solidFill>
                <a:srgbClr val="768650"/>
              </a:solidFill>
            </c:spPr>
          </c:dPt>
          <c:dPt>
            <c:idx val="169"/>
            <c:spPr>
              <a:solidFill>
                <a:srgbClr val="9A6ED6"/>
              </a:solidFill>
            </c:spPr>
          </c:dPt>
          <c:dPt>
            <c:idx val="170"/>
            <c:spPr>
              <a:solidFill>
                <a:srgbClr val="1DEF40"/>
              </a:solidFill>
            </c:spPr>
          </c:dPt>
          <c:dPt>
            <c:idx val="171"/>
            <c:spPr>
              <a:solidFill>
                <a:srgbClr val="DD83F8"/>
              </a:solidFill>
            </c:spPr>
          </c:dPt>
          <c:dPt>
            <c:idx val="172"/>
            <c:spPr>
              <a:solidFill>
                <a:srgbClr val="FF3757"/>
              </a:solidFill>
            </c:spPr>
          </c:dPt>
          <c:dPt>
            <c:idx val="173"/>
            <c:spPr>
              <a:solidFill>
                <a:srgbClr val="58E7A5"/>
              </a:solidFill>
            </c:spPr>
          </c:dPt>
          <c:dPt>
            <c:idx val="174"/>
            <c:spPr>
              <a:solidFill>
                <a:srgbClr val="AEAA54"/>
              </a:solidFill>
            </c:spPr>
          </c:dPt>
          <c:dPt>
            <c:idx val="175"/>
            <c:spPr>
              <a:solidFill>
                <a:srgbClr val="A1A712"/>
              </a:solidFill>
            </c:spPr>
          </c:dPt>
          <c:dPt>
            <c:idx val="176"/>
            <c:spPr>
              <a:solidFill>
                <a:srgbClr val="1E038C"/>
              </a:solidFill>
            </c:spPr>
          </c:dPt>
          <c:dPt>
            <c:idx val="177"/>
            <c:spPr>
              <a:solidFill>
                <a:srgbClr val="1A9D2B"/>
              </a:solidFill>
            </c:spPr>
          </c:dPt>
          <c:dPt>
            <c:idx val="178"/>
            <c:spPr>
              <a:solidFill>
                <a:srgbClr val="FF63A3"/>
              </a:solidFill>
            </c:spPr>
          </c:dPt>
          <c:dPt>
            <c:idx val="179"/>
            <c:spPr>
              <a:solidFill>
                <a:srgbClr val="90FBB6"/>
              </a:solidFill>
            </c:spPr>
          </c:dPt>
          <c:dPt>
            <c:idx val="180"/>
            <c:spPr>
              <a:solidFill>
                <a:srgbClr val="E7CF57"/>
              </a:solidFill>
            </c:spPr>
          </c:dPt>
          <c:dPt>
            <c:idx val="181"/>
            <c:spPr>
              <a:solidFill>
                <a:srgbClr val="A7DF4F"/>
              </a:solidFill>
            </c:spPr>
          </c:dPt>
          <c:dPt>
            <c:idx val="182"/>
            <c:spPr>
              <a:solidFill>
                <a:srgbClr val="1F17D7"/>
              </a:solidFill>
            </c:spPr>
          </c:dPt>
          <c:dPt>
            <c:idx val="183"/>
            <c:spPr>
              <a:solidFill>
                <a:srgbClr val="57B75F"/>
              </a:solidFill>
            </c:spPr>
          </c:dPt>
          <c:dPt>
            <c:idx val="184"/>
            <c:spPr>
              <a:solidFill>
                <a:srgbClr val="FF8FEF"/>
              </a:solidFill>
            </c:spPr>
          </c:dPt>
          <c:dPt>
            <c:idx val="185"/>
            <c:spPr>
              <a:solidFill>
                <a:srgbClr val="C70FC7"/>
              </a:solidFill>
            </c:spPr>
          </c:dPt>
          <c:dPt>
            <c:idx val="186"/>
            <c:spPr>
              <a:solidFill>
                <a:srgbClr val="20F45A"/>
              </a:solidFill>
            </c:spPr>
          </c:dPt>
          <c:dPt>
            <c:idx val="187"/>
            <c:spPr>
              <a:solidFill>
                <a:srgbClr val="AD178C"/>
              </a:solidFill>
            </c:spPr>
          </c:dPt>
          <c:dPt>
            <c:idx val="188"/>
            <c:spPr>
              <a:solidFill>
                <a:srgbClr val="202B22"/>
              </a:solidFill>
            </c:spPr>
          </c:dPt>
          <c:dPt>
            <c:idx val="189"/>
            <c:spPr>
              <a:solidFill>
                <a:srgbClr val="94D193"/>
              </a:solidFill>
            </c:spPr>
          </c:dPt>
          <c:dPt>
            <c:idx val="190"/>
            <c:spPr>
              <a:solidFill>
                <a:srgbClr val="FFBB3B"/>
              </a:solidFill>
            </c:spPr>
          </c:dPt>
          <c:dPt>
            <c:idx val="191"/>
            <c:spPr>
              <a:solidFill>
                <a:srgbClr val="FF23D8"/>
              </a:solidFill>
            </c:spPr>
          </c:dPt>
          <c:dPt>
            <c:idx val="192"/>
            <c:spPr>
              <a:solidFill>
                <a:srgbClr val="58185E"/>
              </a:solidFill>
            </c:spPr>
          </c:dPt>
          <c:dPt>
            <c:idx val="193"/>
            <c:spPr>
              <a:solidFill>
                <a:srgbClr val="B450C8"/>
              </a:solidFill>
            </c:spPr>
          </c:dPt>
          <c:dPt>
            <c:idx val="194"/>
            <c:spPr>
              <a:solidFill>
                <a:srgbClr val="213F6E"/>
              </a:solidFill>
            </c:spPr>
          </c:dPt>
          <c:dPt>
            <c:idx val="195"/>
            <c:spPr>
              <a:solidFill>
                <a:srgbClr val="D1EBC6"/>
              </a:solidFill>
            </c:spPr>
          </c:dPt>
          <c:dPt>
            <c:idx val="196"/>
            <c:spPr>
              <a:solidFill>
                <a:srgbClr val="FFE787"/>
              </a:solidFill>
            </c:spPr>
          </c:dPt>
          <c:dPt>
            <c:idx val="197"/>
            <c:spPr>
              <a:solidFill>
                <a:srgbClr val="3637E9"/>
              </a:solidFill>
            </c:spPr>
          </c:dPt>
          <c:dPt>
            <c:idx val="198"/>
            <c:spPr>
              <a:solidFill>
                <a:srgbClr val="913D61"/>
              </a:solidFill>
            </c:spPr>
          </c:dPt>
          <c:dPt>
            <c:idx val="199"/>
            <c:spPr>
              <a:solidFill>
                <a:srgbClr val="BA8805"/>
              </a:solidFill>
            </c:spPr>
          </c:dPt>
          <c:dPt>
            <c:idx val="200"/>
            <c:spPr>
              <a:solidFill>
                <a:srgbClr val="2353B9"/>
              </a:solidFill>
            </c:spPr>
          </c:dPt>
          <c:dPt>
            <c:idx val="201"/>
            <c:spPr>
              <a:solidFill>
                <a:srgbClr val="0E05FA"/>
              </a:solidFill>
            </c:spPr>
          </c:dPt>
          <c:dPt>
            <c:idx val="202"/>
            <c:spPr>
              <a:solidFill>
                <a:srgbClr val="FF12D4"/>
              </a:solidFill>
            </c:spPr>
          </c:dPt>
          <c:dPt>
            <c:idx val="203"/>
            <c:spPr>
              <a:solidFill>
                <a:srgbClr val="6D4AFA"/>
              </a:solidFill>
            </c:spPr>
          </c:dPt>
          <c:dPt>
            <c:idx val="204"/>
            <c:spPr>
              <a:solidFill>
                <a:srgbClr val="CA6164"/>
              </a:solidFill>
            </c:spPr>
          </c:dPt>
          <c:dPt>
            <c:idx val="205"/>
            <c:spPr>
              <a:solidFill>
                <a:srgbClr val="C0C141"/>
              </a:solidFill>
            </c:spPr>
          </c:dPt>
          <c:dPt>
            <c:idx val="206"/>
            <c:spPr>
              <a:solidFill>
                <a:srgbClr val="246704"/>
              </a:solidFill>
            </c:spPr>
          </c:dPt>
          <c:dPt>
            <c:idx val="207"/>
            <c:spPr>
              <a:solidFill>
                <a:srgbClr val="4B1F2D"/>
              </a:solidFill>
            </c:spPr>
          </c:dPt>
          <c:dPt>
            <c:idx val="208"/>
            <c:spPr>
              <a:solidFill>
                <a:srgbClr val="FF3E20"/>
              </a:solidFill>
            </c:spPr>
          </c:dPt>
          <c:dPt>
            <c:idx val="209"/>
            <c:spPr>
              <a:solidFill>
                <a:srgbClr val="A55E0B"/>
              </a:solidFill>
            </c:spPr>
          </c:dPt>
          <c:dPt>
            <c:idx val="210"/>
            <c:spPr>
              <a:solidFill>
                <a:srgbClr val="038668"/>
              </a:solidFill>
            </c:spPr>
          </c:dPt>
          <c:dPt>
            <c:idx val="211"/>
            <c:spPr>
              <a:solidFill>
                <a:srgbClr val="C7F97E"/>
              </a:solidFill>
            </c:spPr>
          </c:dPt>
          <c:dPt>
            <c:idx val="212"/>
            <c:spPr>
              <a:solidFill>
                <a:srgbClr val="257C50"/>
              </a:solidFill>
            </c:spPr>
          </c:dPt>
          <c:dPt>
            <c:idx val="213"/>
            <c:spPr>
              <a:solidFill>
                <a:srgbClr val="883A61"/>
              </a:solidFill>
            </c:spPr>
          </c:dPt>
          <c:dPt>
            <c:idx val="214"/>
            <c:spPr>
              <a:solidFill>
                <a:srgbClr val="FF6A6C"/>
              </a:solidFill>
            </c:spPr>
          </c:dPt>
          <c:dPt>
            <c:idx val="215"/>
            <c:spPr>
              <a:solidFill>
                <a:srgbClr val="DD721D"/>
              </a:solidFill>
            </c:spPr>
          </c:dPt>
          <c:dPt>
            <c:idx val="216"/>
            <c:spPr>
              <a:solidFill>
                <a:srgbClr val="3BAB6B"/>
              </a:solidFill>
            </c:spPr>
          </c:dPt>
          <c:dPt>
            <c:idx val="217"/>
            <c:spPr>
              <a:solidFill>
                <a:srgbClr val="CD31BB"/>
              </a:solidFill>
            </c:spPr>
          </c:dPt>
          <c:dPt>
            <c:idx val="218"/>
            <c:spPr>
              <a:solidFill>
                <a:srgbClr val="26909B"/>
              </a:solidFill>
            </c:spPr>
          </c:dPt>
          <c:dPt>
            <c:idx val="219"/>
            <c:spPr>
              <a:solidFill>
                <a:srgbClr val="C45495"/>
              </a:solidFill>
            </c:spPr>
          </c:dPt>
          <c:dPt>
            <c:idx val="220"/>
            <c:spPr>
              <a:solidFill>
                <a:srgbClr val="FF96B8"/>
              </a:solidFill>
            </c:spPr>
          </c:dPt>
          <c:dPt>
            <c:idx val="221"/>
            <c:spPr>
              <a:solidFill>
                <a:srgbClr val="14862E"/>
              </a:solidFill>
            </c:spPr>
          </c:dPt>
          <c:dPt>
            <c:idx val="222"/>
            <c:spPr>
              <a:solidFill>
                <a:srgbClr val="74CF6E"/>
              </a:solidFill>
            </c:spPr>
          </c:dPt>
          <c:dPt>
            <c:idx val="223"/>
            <c:spPr>
              <a:solidFill>
                <a:srgbClr val="D36AF7"/>
              </a:solidFill>
            </c:spPr>
          </c:dPt>
          <c:dPt>
            <c:idx val="224"/>
            <c:spPr>
              <a:solidFill>
                <a:srgbClr val="27A4E6"/>
              </a:solidFill>
            </c:spPr>
          </c:dPt>
          <c:dPt>
            <c:idx val="225"/>
            <c:spPr>
              <a:solidFill>
                <a:srgbClr val="016EC8"/>
              </a:solidFill>
            </c:spPr>
          </c:dPt>
          <c:dPt>
            <c:idx val="226"/>
            <c:spPr>
              <a:solidFill>
                <a:srgbClr val="FFC204"/>
              </a:solidFill>
            </c:spPr>
          </c:dPt>
          <c:dPt>
            <c:idx val="227"/>
            <c:spPr>
              <a:solidFill>
                <a:srgbClr val="4C9A3F"/>
              </a:solidFill>
            </c:spPr>
          </c:dPt>
          <c:dPt>
            <c:idx val="228"/>
            <c:spPr>
              <a:solidFill>
                <a:srgbClr val="ADF471"/>
              </a:solidFill>
            </c:spPr>
          </c:dPt>
          <c:dPt>
            <c:idx val="229"/>
            <c:spPr>
              <a:solidFill>
                <a:srgbClr val="D9A234"/>
              </a:solidFill>
            </c:spPr>
          </c:dPt>
          <c:dPt>
            <c:idx val="230"/>
            <c:spPr>
              <a:solidFill>
                <a:srgbClr val="29B831"/>
              </a:solidFill>
            </c:spPr>
          </c:dPt>
          <c:dPt>
            <c:idx val="231"/>
            <c:spPr>
              <a:solidFill>
                <a:srgbClr val="3E88FC"/>
              </a:solidFill>
            </c:spPr>
          </c:dPt>
          <c:dPt>
            <c:idx val="232"/>
            <c:spPr>
              <a:solidFill>
                <a:srgbClr val="FFED51"/>
              </a:solidFill>
            </c:spPr>
          </c:dPt>
          <c:dPt>
            <c:idx val="233"/>
            <c:spPr>
              <a:solidFill>
                <a:srgbClr val="83AD50"/>
              </a:solidFill>
            </c:spPr>
          </c:dPt>
          <c:dPt>
            <c:idx val="234"/>
            <c:spPr>
              <a:solidFill>
                <a:srgbClr val="E51875"/>
              </a:solidFill>
            </c:spPr>
          </c:dPt>
          <c:dPt>
            <c:idx val="235"/>
            <c:spPr>
              <a:solidFill>
                <a:srgbClr val="E0DB70"/>
              </a:solidFill>
            </c:spPr>
          </c:dPt>
          <c:dPt>
            <c:idx val="236"/>
            <c:spPr>
              <a:solidFill>
                <a:srgbClr val="2ACC7D"/>
              </a:solidFill>
            </c:spPr>
          </c:dPt>
          <c:dPt>
            <c:idx val="237"/>
            <c:spPr>
              <a:solidFill>
                <a:srgbClr val="7BA22F"/>
              </a:solidFill>
            </c:spPr>
          </c:dPt>
          <c:dPt>
            <c:idx val="238"/>
            <c:spPr>
              <a:solidFill>
                <a:srgbClr val="FF199D"/>
              </a:solidFill>
            </c:spPr>
          </c:dPt>
          <c:dPt>
            <c:idx val="239"/>
            <c:spPr>
              <a:solidFill>
                <a:srgbClr val="BBC161"/>
              </a:solidFill>
            </c:spPr>
          </c:dPt>
          <c:dPt>
            <c:idx val="240"/>
            <c:spPr>
              <a:solidFill>
                <a:srgbClr val="1E3D78"/>
              </a:solidFill>
            </c:spPr>
          </c:dPt>
          <c:dPt>
            <c:idx val="241"/>
            <c:spPr>
              <a:solidFill>
                <a:srgbClr val="E613AD"/>
              </a:solidFill>
            </c:spPr>
          </c:dPt>
          <c:dPt>
            <c:idx val="242"/>
            <c:spPr>
              <a:solidFill>
                <a:srgbClr val="2BE0C8"/>
              </a:solidFill>
            </c:spPr>
          </c:dPt>
          <c:dPt>
            <c:idx val="243"/>
            <c:spPr>
              <a:solidFill>
                <a:srgbClr val="B8BC63"/>
              </a:solidFill>
            </c:spPr>
          </c:dPt>
          <c:dPt>
            <c:idx val="244"/>
            <c:spPr>
              <a:solidFill>
                <a:srgbClr val="FF45E9"/>
              </a:solidFill>
            </c:spPr>
          </c:dPt>
          <c:dPt>
            <c:idx val="245"/>
            <c:spPr>
              <a:solidFill>
                <a:srgbClr val="F2D572"/>
              </a:solidFill>
            </c:spPr>
          </c:dPt>
          <c:dPt>
            <c:idx val="246"/>
            <c:spPr>
              <a:solidFill>
                <a:srgbClr val="57627B"/>
              </a:solidFill>
            </c:spPr>
          </c:dPt>
          <c:dPt>
            <c:idx val="247"/>
            <c:spPr>
              <a:solidFill>
                <a:srgbClr val="EC4BEA"/>
              </a:solidFill>
            </c:spPr>
          </c:dPt>
          <c:dPt>
            <c:idx val="248"/>
            <c:spPr>
              <a:solidFill>
                <a:srgbClr val="2CF413"/>
              </a:solidFill>
            </c:spPr>
          </c:dPt>
          <c:dPt>
            <c:idx val="249"/>
            <c:spPr>
              <a:solidFill>
                <a:srgbClr val="F5D697"/>
              </a:solidFill>
            </c:spPr>
          </c:dPt>
          <c:dPt>
            <c:idx val="250"/>
            <c:spPr>
              <a:solidFill>
                <a:srgbClr val="FF7135"/>
              </a:solidFill>
            </c:spPr>
          </c:dPt>
          <c:dPt>
            <c:idx val="251"/>
            <c:spPr>
              <a:solidFill>
                <a:srgbClr val="2AE983"/>
              </a:solidFill>
            </c:spPr>
          </c:dPt>
          <c:dPt>
            <c:idx val="252"/>
            <c:spPr>
              <a:solidFill>
                <a:srgbClr val="8F867F"/>
              </a:solidFill>
            </c:spPr>
          </c:dPt>
          <c:dPt>
            <c:idx val="253"/>
            <c:spPr>
              <a:solidFill>
                <a:srgbClr val="F38426"/>
              </a:solidFill>
            </c:spPr>
          </c:dPt>
          <c:dPt>
            <c:idx val="254"/>
            <c:spPr>
              <a:solidFill>
                <a:srgbClr val="2D085F"/>
              </a:solidFill>
            </c:spPr>
          </c:dPt>
          <c:dPt>
            <c:idx val="255"/>
            <c:spPr>
              <a:solidFill>
                <a:srgbClr val="32F0CA"/>
              </a:solidFill>
            </c:spPr>
          </c:dPt>
          <c:dPt>
            <c:idx val="256"/>
            <c:spPr>
              <a:solidFill>
                <a:srgbClr val="FF9D81"/>
              </a:solidFill>
            </c:spPr>
          </c:dPt>
          <c:dPt>
            <c:idx val="257"/>
            <c:spPr>
              <a:solidFill>
                <a:srgbClr val="61FD94"/>
              </a:solidFill>
            </c:spPr>
          </c:dPt>
          <c:dPt>
            <c:idx val="258"/>
            <c:spPr>
              <a:solidFill>
                <a:srgbClr val="C8AB82"/>
              </a:solidFill>
            </c:spPr>
          </c:dPt>
          <c:dPt>
            <c:idx val="259"/>
            <c:spPr>
              <a:solidFill>
                <a:srgbClr val="F9BC63"/>
              </a:solidFill>
            </c:spPr>
          </c:dPt>
          <c:dPt>
            <c:idx val="260"/>
            <c:spPr>
              <a:solidFill>
                <a:srgbClr val="2F1CAA"/>
              </a:solidFill>
            </c:spPr>
          </c:dPt>
          <c:dPt>
            <c:idx val="261"/>
            <c:spPr>
              <a:solidFill>
                <a:srgbClr val="6F0AFE"/>
              </a:solidFill>
            </c:spPr>
          </c:dPt>
          <c:dPt>
            <c:idx val="262"/>
            <c:spPr>
              <a:solidFill>
                <a:srgbClr val="FFC8CE"/>
              </a:solidFill>
            </c:spPr>
          </c:dPt>
          <c:dPt>
            <c:idx val="263"/>
            <c:spPr>
              <a:solidFill>
                <a:srgbClr val="9910A5"/>
              </a:solidFill>
            </c:spPr>
          </c:dPt>
          <c:dPt>
            <c:idx val="264"/>
            <c:spPr>
              <a:solidFill>
                <a:srgbClr val="01CF85"/>
              </a:solidFill>
            </c:spPr>
          </c:dPt>
          <c:dPt>
            <c:idx val="265"/>
            <c:spPr>
              <a:solidFill>
                <a:srgbClr val="FFF59F"/>
              </a:solidFill>
            </c:spPr>
          </c:dPt>
          <c:dPt>
            <c:idx val="266"/>
            <c:spPr>
              <a:solidFill>
                <a:srgbClr val="3030F5"/>
              </a:solidFill>
            </c:spPr>
          </c:dPt>
          <c:dPt>
            <c:idx val="267"/>
            <c:spPr>
              <a:solidFill>
                <a:srgbClr val="AC2431"/>
              </a:solidFill>
            </c:spPr>
          </c:dPt>
          <c:dPt>
            <c:idx val="268"/>
            <c:spPr>
              <a:solidFill>
                <a:srgbClr val="FFF41A"/>
              </a:solidFill>
            </c:spPr>
          </c:dPt>
          <c:dPt>
            <c:idx val="269"/>
            <c:spPr>
              <a:solidFill>
                <a:srgbClr val="D024B6"/>
              </a:solidFill>
            </c:spPr>
          </c:dPt>
          <c:dPt>
            <c:idx val="270"/>
            <c:spPr>
              <a:solidFill>
                <a:srgbClr val="3AF489"/>
              </a:solidFill>
            </c:spPr>
          </c:dPt>
          <c:dPt>
            <c:idx val="271"/>
            <c:spPr>
              <a:solidFill>
                <a:srgbClr val="062DDC"/>
              </a:solidFill>
            </c:spPr>
          </c:dPt>
          <c:dPt>
            <c:idx val="272"/>
            <c:spPr>
              <a:solidFill>
                <a:srgbClr val="314541"/>
              </a:solidFill>
            </c:spPr>
          </c:dPt>
          <c:dPt>
            <c:idx val="273"/>
            <c:spPr>
              <a:solidFill>
                <a:srgbClr val="E93F65"/>
              </a:solidFill>
            </c:spPr>
          </c:dPt>
          <c:dPt>
            <c:idx val="274"/>
            <c:spPr>
              <a:solidFill>
                <a:srgbClr val="FF2066"/>
              </a:solidFill>
            </c:spPr>
          </c:dPt>
          <c:dPt>
            <c:idx val="275"/>
            <c:spPr>
              <a:solidFill>
                <a:srgbClr val="0838C8"/>
              </a:solidFill>
            </c:spPr>
          </c:dPt>
          <c:dPt>
            <c:idx val="276"/>
            <c:spPr>
              <a:solidFill>
                <a:srgbClr val="72198C"/>
              </a:solidFill>
            </c:spPr>
          </c:dPt>
          <c:dPt>
            <c:idx val="277"/>
            <c:spPr>
              <a:solidFill>
                <a:srgbClr val="0C6519"/>
              </a:solidFill>
            </c:spPr>
          </c:dPt>
          <c:dPt>
            <c:idx val="278"/>
            <c:spPr>
              <a:solidFill>
                <a:srgbClr val="32598C"/>
              </a:solidFill>
            </c:spPr>
          </c:dPt>
          <c:dPt>
            <c:idx val="279"/>
            <c:spPr>
              <a:solidFill>
                <a:srgbClr val="255999"/>
              </a:solidFill>
            </c:spPr>
          </c:dPt>
          <c:dPt>
            <c:idx val="280"/>
            <c:spPr>
              <a:solidFill>
                <a:srgbClr val="FF4CB2"/>
              </a:solidFill>
            </c:spPr>
          </c:dPt>
          <c:dPt>
            <c:idx val="281"/>
            <c:spPr>
              <a:solidFill>
                <a:srgbClr val="3F4CD9"/>
              </a:solidFill>
            </c:spPr>
          </c:dPt>
          <c:dPt>
            <c:idx val="282"/>
            <c:spPr>
              <a:solidFill>
                <a:srgbClr val="AB3D8F"/>
              </a:solidFill>
            </c:spPr>
          </c:dPt>
          <c:dPt>
            <c:idx val="283"/>
            <c:spPr>
              <a:solidFill>
                <a:srgbClr val="129E55"/>
              </a:solidFill>
            </c:spPr>
          </c:dPt>
          <c:dPt>
            <c:idx val="284"/>
            <c:spPr>
              <a:solidFill>
                <a:srgbClr val="336DD7"/>
              </a:solidFill>
            </c:spPr>
          </c:dPt>
          <c:dPt>
            <c:idx val="285"/>
            <c:spPr>
              <a:solidFill>
                <a:srgbClr val="6273CC"/>
              </a:solidFill>
            </c:spPr>
          </c:dPt>
          <c:dPt>
            <c:idx val="286"/>
            <c:spPr>
              <a:solidFill>
                <a:srgbClr val="FF78FE"/>
              </a:solidFill>
            </c:spPr>
          </c:dPt>
          <c:dPt>
            <c:idx val="287"/>
            <c:spPr>
              <a:solidFill>
                <a:srgbClr val="7760EA"/>
              </a:solidFill>
            </c:spPr>
          </c:dPt>
          <c:dPt>
            <c:idx val="288"/>
            <c:spPr>
              <a:solidFill>
                <a:srgbClr val="E46292"/>
              </a:solidFill>
            </c:spPr>
          </c:dPt>
          <c:dPt>
            <c:idx val="289"/>
            <c:spPr>
              <a:solidFill>
                <a:srgbClr val="18D692"/>
              </a:solidFill>
            </c:spPr>
          </c:dPt>
          <c:dPt>
            <c:idx val="290"/>
            <c:spPr>
              <a:solidFill>
                <a:srgbClr val="358122"/>
              </a:solidFill>
            </c:spPr>
          </c:dPt>
          <c:dPt>
            <c:idx val="291"/>
            <c:spPr>
              <a:solidFill>
                <a:srgbClr val="9F8D00"/>
              </a:solidFill>
            </c:spPr>
          </c:dPt>
          <c:dPt>
            <c:idx val="292"/>
            <c:spPr>
              <a:solidFill>
                <a:srgbClr val="FFA34B"/>
              </a:solidFill>
            </c:spPr>
          </c:dPt>
          <c:dPt>
            <c:idx val="293"/>
            <c:spPr>
              <a:solidFill>
                <a:srgbClr val="AE73FB"/>
              </a:solidFill>
            </c:spPr>
          </c:dPt>
          <c:dPt>
            <c:idx val="294"/>
            <c:spPr>
              <a:solidFill>
                <a:srgbClr val="1C8696"/>
              </a:solidFill>
            </c:spPr>
          </c:dPt>
          <c:dPt>
            <c:idx val="295"/>
            <c:spPr>
              <a:solidFill>
                <a:srgbClr val="1F0FCE"/>
              </a:solidFill>
            </c:spPr>
          </c:dPt>
          <c:dPt>
            <c:idx val="296"/>
            <c:spPr>
              <a:solidFill>
                <a:srgbClr val="36956E"/>
              </a:solidFill>
            </c:spPr>
          </c:dPt>
          <c:dPt>
            <c:idx val="297"/>
            <c:spPr>
              <a:solidFill>
                <a:srgbClr val="DCA733"/>
              </a:solidFill>
            </c:spPr>
          </c:dPt>
          <c:dPt>
            <c:idx val="298"/>
            <c:spPr>
              <a:solidFill>
                <a:srgbClr val="FFCF97"/>
              </a:solidFill>
            </c:spPr>
          </c:dPt>
          <c:dPt>
            <c:idx val="299"/>
            <c:spPr>
              <a:solidFill>
                <a:srgbClr val="E6870C"/>
              </a:solidFill>
            </c:spPr>
          </c:dPt>
          <c:dPt>
            <c:idx val="300"/>
            <c:spPr>
              <a:solidFill>
                <a:srgbClr val="55AB99"/>
              </a:solidFill>
            </c:spPr>
          </c:dPt>
          <c:dPt>
            <c:idx val="301"/>
            <c:spPr>
              <a:solidFill>
                <a:srgbClr val="25470B"/>
              </a:solidFill>
            </c:spPr>
          </c:dPt>
          <c:dPt>
            <c:idx val="302"/>
            <c:spPr>
              <a:solidFill>
                <a:srgbClr val="37A9B9"/>
              </a:solidFill>
            </c:spPr>
          </c:dPt>
          <c:dPt>
            <c:idx val="303"/>
            <c:spPr>
              <a:solidFill>
                <a:srgbClr val="19C167"/>
              </a:solidFill>
            </c:spPr>
          </c:dPt>
          <c:dPt>
            <c:idx val="304"/>
            <c:spPr>
              <a:solidFill>
                <a:srgbClr val="FFFBE3"/>
              </a:solidFill>
            </c:spPr>
          </c:dPt>
          <c:dPt>
            <c:idx val="305"/>
            <c:spPr>
              <a:solidFill>
                <a:srgbClr val="1D9B1D"/>
              </a:solidFill>
            </c:spPr>
          </c:dPt>
          <c:dPt>
            <c:idx val="306"/>
            <c:spPr>
              <a:solidFill>
                <a:srgbClr val="8ED09C"/>
              </a:solidFill>
            </c:spPr>
          </c:dPt>
          <c:dPt>
            <c:idx val="307"/>
            <c:spPr>
              <a:solidFill>
                <a:srgbClr val="2B7F48"/>
              </a:solidFill>
            </c:spPr>
          </c:dPt>
          <c:dPt>
            <c:idx val="308"/>
            <c:spPr>
              <a:solidFill>
                <a:srgbClr val="38BD04"/>
              </a:solidFill>
            </c:spPr>
          </c:dPt>
          <c:dPt>
            <c:idx val="309"/>
            <c:spPr>
              <a:solidFill>
                <a:srgbClr val="56DB9B"/>
              </a:solidFill>
            </c:spPr>
          </c:dPt>
          <c:dPt>
            <c:idx val="310"/>
            <c:spPr>
              <a:solidFill>
                <a:srgbClr val="FF272F"/>
              </a:solidFill>
            </c:spPr>
          </c:dPt>
          <c:dPt>
            <c:idx val="311"/>
            <c:spPr>
              <a:solidFill>
                <a:srgbClr val="55AF2E"/>
              </a:solidFill>
            </c:spPr>
          </c:dPt>
          <c:dPt>
            <c:idx val="312"/>
            <c:spPr>
              <a:solidFill>
                <a:srgbClr val="C6F4A0"/>
              </a:solidFill>
            </c:spPr>
          </c:dPt>
          <c:dPt>
            <c:idx val="313"/>
            <c:spPr>
              <a:solidFill>
                <a:srgbClr val="32B884"/>
              </a:solidFill>
            </c:spPr>
          </c:dPt>
          <c:dPt>
            <c:idx val="314"/>
            <c:spPr>
              <a:solidFill>
                <a:srgbClr val="39D150"/>
              </a:solidFill>
            </c:spPr>
          </c:dPt>
          <c:dPt>
            <c:idx val="315"/>
            <c:spPr>
              <a:solidFill>
                <a:srgbClr val="93F5CE"/>
              </a:solidFill>
            </c:spPr>
          </c:dPt>
          <c:dPt>
            <c:idx val="316"/>
            <c:spPr>
              <a:solidFill>
                <a:srgbClr val="FF537B"/>
              </a:solidFill>
            </c:spPr>
          </c:dPt>
          <c:dPt>
            <c:idx val="317"/>
            <c:spPr>
              <a:solidFill>
                <a:srgbClr val="8CC33F"/>
              </a:solidFill>
            </c:spPr>
          </c:dPt>
          <c:dPt>
            <c:idx val="318"/>
            <c:spPr>
              <a:solidFill>
                <a:srgbClr val="FF19A3"/>
              </a:solidFill>
            </c:spPr>
          </c:dPt>
          <c:dPt>
            <c:idx val="319"/>
            <c:spPr>
              <a:solidFill>
                <a:srgbClr val="38F0C1"/>
              </a:solidFill>
            </c:spPr>
          </c:dPt>
          <c:dPt>
            <c:idx val="320"/>
            <c:spPr>
              <a:solidFill>
                <a:srgbClr val="3BE59B"/>
              </a:solidFill>
            </c:spPr>
          </c:dPt>
          <c:dPt>
            <c:idx val="321"/>
            <c:spPr>
              <a:solidFill>
                <a:srgbClr val="D00F02"/>
              </a:solidFill>
            </c:spPr>
          </c:dPt>
          <c:dPt>
            <c:idx val="322"/>
            <c:spPr>
              <a:solidFill>
                <a:srgbClr val="FF7EC8"/>
              </a:solidFill>
            </c:spPr>
          </c:dPt>
          <c:dPt>
            <c:idx val="323"/>
            <c:spPr>
              <a:solidFill>
                <a:srgbClr val="C4D650"/>
              </a:solidFill>
            </c:spPr>
          </c:dPt>
          <c:dPt>
            <c:idx val="324"/>
            <c:spPr>
              <a:solidFill>
                <a:srgbClr val="383DA6"/>
              </a:solidFill>
            </c:spPr>
          </c:dPt>
          <c:dPt>
            <c:idx val="325"/>
            <c:spPr>
              <a:solidFill>
                <a:srgbClr val="3E29FD"/>
              </a:solidFill>
            </c:spPr>
          </c:dPt>
          <c:dPt>
            <c:idx val="326"/>
            <c:spPr>
              <a:solidFill>
                <a:srgbClr val="3CF9E6"/>
              </a:solidFill>
            </c:spPr>
          </c:dPt>
          <c:dPt>
            <c:idx val="327"/>
            <c:spPr>
              <a:solidFill>
                <a:srgbClr val="0D2935"/>
              </a:solidFill>
            </c:spPr>
          </c:dPt>
          <c:dPt>
            <c:idx val="328"/>
            <c:spPr>
              <a:solidFill>
                <a:srgbClr val="FFAA14"/>
              </a:solidFill>
            </c:spPr>
          </c:dPt>
          <c:dPt>
            <c:idx val="329"/>
            <c:spPr>
              <a:solidFill>
                <a:srgbClr val="FBEA61"/>
              </a:solidFill>
            </c:spPr>
          </c:dPt>
          <c:dPt>
            <c:idx val="330"/>
            <c:spPr>
              <a:solidFill>
                <a:srgbClr val="7162AA"/>
              </a:solidFill>
            </c:spPr>
          </c:dPt>
          <c:dPt>
            <c:idx val="331"/>
            <c:spPr>
              <a:solidFill>
                <a:srgbClr val="45613A"/>
              </a:solidFill>
            </c:spPr>
          </c:dPt>
          <c:dPt>
            <c:idx val="332"/>
            <c:spPr>
              <a:solidFill>
                <a:srgbClr val="3D0E32"/>
              </a:solidFill>
            </c:spPr>
          </c:dPt>
          <c:dPt>
            <c:idx val="333"/>
            <c:spPr>
              <a:solidFill>
                <a:srgbClr val="4A4469"/>
              </a:solidFill>
            </c:spPr>
          </c:dPt>
          <c:dPt>
            <c:idx val="334"/>
            <c:spPr>
              <a:solidFill>
                <a:srgbClr val="FFD660"/>
              </a:solidFill>
            </c:spPr>
          </c:dPt>
          <c:dPt>
            <c:idx val="335"/>
            <c:spPr>
              <a:solidFill>
                <a:srgbClr val="33FE73"/>
              </a:solidFill>
            </c:spPr>
          </c:dPt>
          <c:dPt>
            <c:idx val="336"/>
            <c:spPr>
              <a:solidFill>
                <a:srgbClr val="A987AD"/>
              </a:solidFill>
            </c:spPr>
          </c:dPt>
          <c:dPt>
            <c:idx val="337"/>
            <c:spPr>
              <a:solidFill>
                <a:srgbClr val="4B9977"/>
              </a:solidFill>
            </c:spPr>
          </c:dPt>
          <c:dPt>
            <c:idx val="338"/>
            <c:spPr>
              <a:solidFill>
                <a:srgbClr val="3E227D"/>
              </a:solidFill>
            </c:spPr>
          </c:dPt>
          <c:dPt>
            <c:idx val="339"/>
            <c:spPr>
              <a:solidFill>
                <a:srgbClr val="865E9D"/>
              </a:solidFill>
            </c:spPr>
          </c:dPt>
          <c:dPt>
            <c:idx val="340"/>
            <c:spPr>
              <a:solidFill>
                <a:srgbClr val="FF02AC"/>
              </a:solidFill>
            </c:spPr>
          </c:dPt>
          <c:dPt>
            <c:idx val="341"/>
            <c:spPr>
              <a:solidFill>
                <a:srgbClr val="6A1284"/>
              </a:solidFill>
            </c:spPr>
          </c:dPt>
          <c:dPt>
            <c:idx val="342"/>
            <c:spPr>
              <a:solidFill>
                <a:srgbClr val="E2ABB0"/>
              </a:solidFill>
            </c:spPr>
          </c:dPt>
          <c:dPt>
            <c:idx val="343"/>
            <c:spPr>
              <a:solidFill>
                <a:srgbClr val="51D2B3"/>
              </a:solidFill>
            </c:spPr>
          </c:dPt>
          <c:dPt>
            <c:idx val="344"/>
            <c:spPr>
              <a:solidFill>
                <a:srgbClr val="3F36C8"/>
              </a:solidFill>
            </c:spPr>
          </c:dPt>
          <c:dPt>
            <c:idx val="345"/>
            <c:spPr>
              <a:solidFill>
                <a:srgbClr val="C378D0"/>
              </a:solidFill>
            </c:spPr>
          </c:dPt>
          <c:dPt>
            <c:idx val="346"/>
            <c:spPr>
              <a:solidFill>
                <a:srgbClr val="FF2EF8"/>
              </a:solidFill>
            </c:spPr>
          </c:dPt>
          <c:dPt>
            <c:idx val="347"/>
            <c:spPr>
              <a:solidFill>
                <a:srgbClr val="A22695"/>
              </a:solidFill>
            </c:spPr>
          </c:dPt>
          <c:dPt>
            <c:idx val="348"/>
            <c:spPr>
              <a:solidFill>
                <a:srgbClr val="1BD0B3"/>
              </a:solidFill>
            </c:spPr>
          </c:dPt>
          <c:dPt>
            <c:idx val="349"/>
            <c:spPr>
              <a:solidFill>
                <a:srgbClr val="570AF0"/>
              </a:solidFill>
            </c:spPr>
          </c:dPt>
          <c:dPt>
            <c:idx val="350"/>
            <c:spPr>
              <a:solidFill>
                <a:srgbClr val="414A13"/>
              </a:solidFill>
            </c:spPr>
          </c:dPt>
          <c:dPt>
            <c:idx val="351"/>
            <c:spPr>
              <a:solidFill>
                <a:srgbClr val="009204"/>
              </a:solidFill>
            </c:spPr>
          </c:dPt>
          <c:dPt>
            <c:idx val="352"/>
            <c:spPr>
              <a:solidFill>
                <a:srgbClr val="FF5945"/>
              </a:solidFill>
            </c:spPr>
          </c:dPt>
          <c:dPt>
            <c:idx val="353"/>
            <c:spPr>
              <a:solidFill>
                <a:srgbClr val="D939A6"/>
              </a:solidFill>
            </c:spPr>
          </c:dPt>
          <c:dPt>
            <c:idx val="354"/>
            <c:spPr>
              <a:solidFill>
                <a:srgbClr val="53F4B7"/>
              </a:solidFill>
            </c:spPr>
          </c:dPt>
          <c:dPt>
            <c:idx val="355"/>
            <c:spPr>
              <a:solidFill>
                <a:srgbClr val="5E432C"/>
              </a:solidFill>
            </c:spPr>
          </c:dPt>
          <c:dPt>
            <c:idx val="356"/>
            <c:spPr>
              <a:solidFill>
                <a:srgbClr val="425E5F"/>
              </a:solidFill>
            </c:spPr>
          </c:dPt>
          <c:dPt>
            <c:idx val="357"/>
            <c:spPr>
              <a:solidFill>
                <a:srgbClr val="3DAC37"/>
              </a:solidFill>
            </c:spPr>
          </c:dPt>
          <c:dPt>
            <c:idx val="358"/>
            <c:spPr>
              <a:solidFill>
                <a:srgbClr val="FF8591"/>
              </a:solidFill>
            </c:spPr>
          </c:dPt>
          <c:dPt>
            <c:idx val="359"/>
            <c:spPr>
              <a:solidFill>
                <a:srgbClr val="114DB7"/>
              </a:solidFill>
            </c:spPr>
          </c:dPt>
          <c:dPt>
            <c:idx val="360"/>
            <c:spPr>
              <a:solidFill>
                <a:srgbClr val="8C19BA"/>
              </a:solidFill>
            </c:spPr>
          </c:dPt>
          <c:dPt>
            <c:idx val="361"/>
            <c:spPr>
              <a:solidFill>
                <a:srgbClr val="647B69"/>
              </a:solidFill>
            </c:spPr>
          </c:dPt>
          <c:dPt>
            <c:idx val="362"/>
            <c:spPr>
              <a:solidFill>
                <a:srgbClr val="4372AA"/>
              </a:solidFill>
            </c:spPr>
          </c:dPt>
          <c:dPt>
            <c:idx val="363"/>
            <c:spPr>
              <a:solidFill>
                <a:srgbClr val="7AC66B"/>
              </a:solidFill>
            </c:spPr>
          </c:dPt>
          <c:dPt>
            <c:idx val="364"/>
            <c:spPr>
              <a:solidFill>
                <a:srgbClr val="FFB1DD"/>
              </a:solidFill>
            </c:spPr>
          </c:dPt>
          <c:dPt>
            <c:idx val="365"/>
            <c:spPr>
              <a:solidFill>
                <a:srgbClr val="4861C8"/>
              </a:solidFill>
            </c:spPr>
          </c:dPt>
          <c:dPt>
            <c:idx val="366"/>
            <c:spPr>
              <a:solidFill>
                <a:srgbClr val="C53EBD"/>
              </a:solidFill>
            </c:spPr>
          </c:dPt>
          <c:dPt>
            <c:idx val="367"/>
            <c:spPr>
              <a:solidFill>
                <a:srgbClr val="6AB3A6"/>
              </a:solidFill>
            </c:spPr>
          </c:dPt>
          <c:dPt>
            <c:idx val="368"/>
            <c:spPr>
              <a:solidFill>
                <a:srgbClr val="4486F5"/>
              </a:solidFill>
            </c:spPr>
          </c:dPt>
          <c:dPt>
            <c:idx val="369"/>
            <c:spPr>
              <a:solidFill>
                <a:srgbClr val="B7E09F"/>
              </a:solidFill>
            </c:spPr>
          </c:dPt>
          <c:dPt>
            <c:idx val="370"/>
            <c:spPr>
              <a:solidFill>
                <a:srgbClr val="FFDD29"/>
              </a:solidFill>
            </c:spPr>
          </c:dPt>
          <c:dPt>
            <c:idx val="371"/>
            <c:spPr>
              <a:solidFill>
                <a:srgbClr val="7F75D9"/>
              </a:solidFill>
            </c:spPr>
          </c:dPt>
          <c:dPt>
            <c:idx val="372"/>
            <c:spPr>
              <a:solidFill>
                <a:srgbClr val="FD62C1"/>
              </a:solidFill>
            </c:spPr>
          </c:dPt>
          <c:dPt>
            <c:idx val="373"/>
            <c:spPr>
              <a:solidFill>
                <a:srgbClr val="71ECE2"/>
              </a:solidFill>
            </c:spPr>
          </c:dPt>
          <c:dPt>
            <c:idx val="374"/>
            <c:spPr>
              <a:solidFill>
                <a:srgbClr val="459A41"/>
              </a:solidFill>
            </c:spPr>
          </c:dPt>
          <c:dPt>
            <c:idx val="375"/>
            <c:spPr>
              <a:solidFill>
                <a:srgbClr val="F4FAD2"/>
              </a:solidFill>
            </c:spPr>
          </c:dPt>
          <c:dPt>
            <c:idx val="376"/>
            <c:spPr>
              <a:solidFill>
                <a:srgbClr val="FF0975"/>
              </a:solidFill>
            </c:spPr>
          </c:dPt>
          <c:dPt>
            <c:idx val="377"/>
            <c:spPr>
              <a:solidFill>
                <a:srgbClr val="B789EA"/>
              </a:solidFill>
            </c:spPr>
          </c:dPt>
          <c:dPt>
            <c:idx val="378"/>
            <c:spPr>
              <a:solidFill>
                <a:srgbClr val="3687C4"/>
              </a:solidFill>
            </c:spPr>
          </c:dPt>
          <c:dPt>
            <c:idx val="379"/>
            <c:spPr>
              <a:solidFill>
                <a:srgbClr val="77241F"/>
              </a:solidFill>
            </c:spPr>
          </c:dPt>
          <c:dPt>
            <c:idx val="380"/>
            <c:spPr>
              <a:solidFill>
                <a:srgbClr val="47AE8C"/>
              </a:solidFill>
            </c:spPr>
          </c:dPt>
          <c:dPt>
            <c:idx val="381"/>
            <c:spPr>
              <a:solidFill>
                <a:srgbClr val="311406"/>
              </a:solidFill>
            </c:spPr>
          </c:dPt>
          <c:dPt>
            <c:idx val="382"/>
            <c:spPr>
              <a:solidFill>
                <a:srgbClr val="FF34C2"/>
              </a:solidFill>
            </c:spPr>
          </c:dPt>
          <c:dPt>
            <c:idx val="383"/>
            <c:spPr>
              <a:solidFill>
                <a:srgbClr val="EF9CFB"/>
              </a:solidFill>
            </c:spPr>
          </c:dPt>
          <c:dPt>
            <c:idx val="384"/>
            <c:spPr>
              <a:solidFill>
                <a:srgbClr val="6FABC7"/>
              </a:solidFill>
            </c:spPr>
          </c:dPt>
          <c:dPt>
            <c:idx val="385"/>
            <c:spPr>
              <a:solidFill>
                <a:srgbClr val="7D5D5B"/>
              </a:solidFill>
            </c:spPr>
          </c:dPt>
          <c:dPt>
            <c:idx val="386"/>
            <c:spPr>
              <a:solidFill>
                <a:srgbClr val="48C2D7"/>
              </a:solidFill>
            </c:spPr>
          </c:dPt>
          <c:dPt>
            <c:idx val="387"/>
            <c:spPr>
              <a:solidFill>
                <a:srgbClr val="6E2E39"/>
              </a:solidFill>
            </c:spPr>
          </c:dPt>
          <c:dPt>
            <c:idx val="388"/>
            <c:spPr>
              <a:solidFill>
                <a:srgbClr val="FF600E"/>
              </a:solidFill>
            </c:spPr>
          </c:dPt>
          <c:dPt>
            <c:idx val="389"/>
            <c:spPr>
              <a:solidFill>
                <a:srgbClr val="26B00C"/>
              </a:solidFill>
            </c:spPr>
          </c:dPt>
          <c:dPt>
            <c:idx val="390"/>
            <c:spPr>
              <a:solidFill>
                <a:srgbClr val="A8D0CB"/>
              </a:solidFill>
            </c:spPr>
          </c:dPt>
          <c:dPt>
            <c:idx val="391"/>
            <c:spPr>
              <a:solidFill>
                <a:srgbClr val="849598"/>
              </a:solidFill>
            </c:spPr>
          </c:dPt>
          <c:dPt>
            <c:idx val="392"/>
            <c:spPr>
              <a:solidFill>
                <a:srgbClr val="49D723"/>
              </a:solidFill>
            </c:spPr>
          </c:dPt>
          <c:dPt>
            <c:idx val="393"/>
            <c:spPr>
              <a:solidFill>
                <a:srgbClr val="AB496D"/>
              </a:solidFill>
            </c:spPr>
          </c:dPt>
          <c:dPt>
            <c:idx val="394"/>
            <c:spPr>
              <a:solidFill>
                <a:srgbClr val="FF8C5A"/>
              </a:solidFill>
            </c:spPr>
          </c:dPt>
          <c:dPt>
            <c:idx val="395"/>
            <c:spPr>
              <a:solidFill>
                <a:srgbClr val="5EC41E"/>
              </a:solidFill>
            </c:spPr>
          </c:dPt>
          <c:dPt>
            <c:idx val="396"/>
            <c:spPr>
              <a:solidFill>
                <a:srgbClr val="E0F5CE"/>
              </a:solidFill>
            </c:spPr>
          </c:dPt>
          <c:dPt>
            <c:idx val="397"/>
            <c:spPr>
              <a:solidFill>
                <a:srgbClr val="8ACDD5"/>
              </a:solidFill>
            </c:spPr>
          </c:dPt>
          <c:dPt>
            <c:idx val="398"/>
            <c:spPr>
              <a:solidFill>
                <a:srgbClr val="4AEB6E"/>
              </a:solidFill>
            </c:spPr>
          </c:dPt>
          <c:dPt>
            <c:idx val="399"/>
            <c:spPr>
              <a:solidFill>
                <a:srgbClr val="E763A1"/>
              </a:solidFill>
            </c:spPr>
          </c:dPt>
          <c:dPt>
            <c:idx val="400"/>
            <c:spPr>
              <a:solidFill>
                <a:srgbClr val="FFB8A6"/>
              </a:solidFill>
            </c:spPr>
          </c:dPt>
          <c:dPt>
            <c:idx val="401"/>
            <c:spPr>
              <a:solidFill>
                <a:srgbClr val="95D82F"/>
              </a:solidFill>
            </c:spPr>
          </c:dPt>
          <c:dPt>
            <c:idx val="402"/>
            <c:spPr>
              <a:solidFill>
                <a:srgbClr val="1919D1"/>
              </a:solidFill>
            </c:spPr>
          </c:dPt>
          <c:dPt>
            <c:idx val="403"/>
            <c:spPr>
              <a:solidFill>
                <a:srgbClr val="900611"/>
              </a:solidFill>
            </c:spPr>
          </c:dPt>
          <c:dPt>
            <c:idx val="404"/>
            <c:spPr>
              <a:solidFill>
                <a:srgbClr val="4BFFB9"/>
              </a:solidFill>
            </c:spPr>
          </c:dPt>
          <c:dPt>
            <c:idx val="405"/>
            <c:spPr>
              <a:solidFill>
                <a:srgbClr val="247DD4"/>
              </a:solidFill>
            </c:spPr>
          </c:dPt>
          <c:dPt>
            <c:idx val="406"/>
            <c:spPr>
              <a:solidFill>
                <a:srgbClr val="FFE4F2"/>
              </a:solidFill>
            </c:spPr>
          </c:dPt>
          <c:dPt>
            <c:idx val="407"/>
            <c:spPr>
              <a:solidFill>
                <a:srgbClr val="CDEC40"/>
              </a:solidFill>
            </c:spPr>
          </c:dPt>
          <c:dPt>
            <c:idx val="408"/>
            <c:spPr>
              <a:solidFill>
                <a:srgbClr val="523ED4"/>
              </a:solidFill>
            </c:spPr>
          </c:dPt>
          <c:dPt>
            <c:idx val="409"/>
            <c:spPr>
              <a:solidFill>
                <a:srgbClr val="963E4E"/>
              </a:solidFill>
            </c:spPr>
          </c:dPt>
          <c:dPt>
            <c:idx val="410"/>
            <c:spPr>
              <a:solidFill>
                <a:srgbClr val="4D1304"/>
              </a:solidFill>
            </c:spPr>
          </c:dPt>
          <c:dPt>
            <c:idx val="411"/>
            <c:spPr>
              <a:solidFill>
                <a:srgbClr val="619708"/>
              </a:solidFill>
            </c:spPr>
          </c:dPt>
          <c:dPt>
            <c:idx val="412"/>
            <c:spPr>
              <a:solidFill>
                <a:srgbClr val="FF0F3F"/>
              </a:solidFill>
            </c:spPr>
          </c:dPt>
          <c:dPt>
            <c:idx val="413"/>
            <c:spPr>
              <a:solidFill>
                <a:srgbClr val="04FF51"/>
              </a:solidFill>
            </c:spPr>
          </c:dPt>
          <c:dPt>
            <c:idx val="414"/>
            <c:spPr>
              <a:solidFill>
                <a:srgbClr val="8A62D8"/>
              </a:solidFill>
            </c:spPr>
          </c:dPt>
          <c:dPt>
            <c:idx val="415"/>
            <c:spPr>
              <a:solidFill>
                <a:srgbClr val="9D778A"/>
              </a:solidFill>
            </c:spPr>
          </c:dPt>
          <c:dPt>
            <c:idx val="416"/>
            <c:spPr>
              <a:solidFill>
                <a:srgbClr val="4E2750"/>
              </a:solidFill>
            </c:spPr>
          </c:dPt>
          <c:dPt>
            <c:idx val="417"/>
            <c:spPr>
              <a:solidFill>
                <a:srgbClr val="9EB13B"/>
              </a:solidFill>
            </c:spPr>
          </c:dPt>
          <c:dPt>
            <c:idx val="418"/>
            <c:spPr>
              <a:solidFill>
                <a:srgbClr val="FF3B8B"/>
              </a:solidFill>
            </c:spPr>
          </c:dPt>
          <c:dPt>
            <c:idx val="419"/>
            <c:spPr>
              <a:solidFill>
                <a:srgbClr val="3C1362"/>
              </a:solidFill>
            </c:spPr>
          </c:dPt>
          <c:dPt>
            <c:idx val="420"/>
            <c:spPr>
              <a:solidFill>
                <a:srgbClr val="C387DB"/>
              </a:solidFill>
            </c:spPr>
          </c:dPt>
          <c:dPt>
            <c:idx val="421"/>
            <c:spPr>
              <a:solidFill>
                <a:srgbClr val="A3AFC7"/>
              </a:solidFill>
            </c:spPr>
          </c:dPt>
          <c:dPt>
            <c:idx val="422"/>
            <c:spPr>
              <a:solidFill>
                <a:srgbClr val="4F3B9B"/>
              </a:solidFill>
            </c:spPr>
          </c:dPt>
          <c:dPt>
            <c:idx val="423"/>
            <c:spPr>
              <a:solidFill>
                <a:srgbClr val="DBCB6F"/>
              </a:solidFill>
            </c:spPr>
          </c:dPt>
          <c:dPt>
            <c:idx val="424"/>
            <c:spPr>
              <a:solidFill>
                <a:srgbClr val="FF67D7"/>
              </a:solidFill>
            </c:spPr>
          </c:dPt>
          <c:dPt>
            <c:idx val="425"/>
            <c:spPr>
              <a:solidFill>
                <a:srgbClr val="732773"/>
              </a:solidFill>
            </c:spPr>
          </c:dPt>
          <c:dPt>
            <c:idx val="426"/>
            <c:spPr>
              <a:solidFill>
                <a:srgbClr val="FCACDE"/>
              </a:solidFill>
            </c:spPr>
          </c:dPt>
          <c:dPt>
            <c:idx val="427"/>
            <c:spPr>
              <a:solidFill>
                <a:srgbClr val="A9E704"/>
              </a:solidFill>
            </c:spPr>
          </c:dPt>
          <c:dPt>
            <c:idx val="428"/>
            <c:spPr>
              <a:solidFill>
                <a:srgbClr val="504FE6"/>
              </a:solidFill>
            </c:spPr>
          </c:dPt>
          <c:dPt>
            <c:idx val="429"/>
            <c:spPr>
              <a:solidFill>
                <a:srgbClr val="18E5A3"/>
              </a:solidFill>
            </c:spPr>
          </c:dPt>
          <c:dPt>
            <c:idx val="430"/>
            <c:spPr>
              <a:solidFill>
                <a:srgbClr val="FF9323"/>
              </a:solidFill>
            </c:spPr>
          </c:dPt>
          <c:dPt>
            <c:idx val="431"/>
            <c:spPr>
              <a:solidFill>
                <a:srgbClr val="AA3B84"/>
              </a:solidFill>
            </c:spPr>
          </c:dPt>
          <c:dPt>
            <c:idx val="432"/>
            <c:spPr>
              <a:solidFill>
                <a:srgbClr val="34D0E2"/>
              </a:solidFill>
            </c:spPr>
          </c:dPt>
          <c:dPt>
            <c:idx val="433"/>
            <c:spPr>
              <a:solidFill>
                <a:srgbClr val="B02040"/>
              </a:solidFill>
            </c:spPr>
          </c:dPt>
          <c:dPt>
            <c:idx val="434"/>
            <c:spPr>
              <a:solidFill>
                <a:srgbClr val="516332"/>
              </a:solidFill>
            </c:spPr>
          </c:dPt>
          <c:dPt>
            <c:idx val="435"/>
            <c:spPr>
              <a:solidFill>
                <a:srgbClr val="55FFD6"/>
              </a:solidFill>
            </c:spPr>
          </c:dPt>
          <c:dPt>
            <c:idx val="436"/>
            <c:spPr>
              <a:solidFill>
                <a:srgbClr val="FFBF6F"/>
              </a:solidFill>
            </c:spPr>
          </c:dPt>
          <c:dPt>
            <c:idx val="437"/>
            <c:spPr>
              <a:solidFill>
                <a:srgbClr val="E24F95"/>
              </a:solidFill>
            </c:spPr>
          </c:dPt>
          <c:dPt>
            <c:idx val="438"/>
            <c:spPr>
              <a:solidFill>
                <a:srgbClr val="6DF5E5"/>
              </a:solidFill>
            </c:spPr>
          </c:dPt>
          <c:dPt>
            <c:idx val="439"/>
            <c:spPr>
              <a:solidFill>
                <a:srgbClr val="B6587D"/>
              </a:solidFill>
            </c:spPr>
          </c:dPt>
          <c:dPt>
            <c:idx val="440"/>
            <c:spPr>
              <a:solidFill>
                <a:srgbClr val="53777D"/>
              </a:solidFill>
            </c:spPr>
          </c:dPt>
          <c:dPt>
            <c:idx val="441"/>
            <c:spPr>
              <a:solidFill>
                <a:srgbClr val="92190A"/>
              </a:solidFill>
            </c:spPr>
          </c:dPt>
          <c:dPt>
            <c:idx val="442"/>
            <c:spPr>
              <a:solidFill>
                <a:srgbClr val="FFEABC"/>
              </a:solidFill>
            </c:spPr>
          </c:dPt>
          <c:dPt>
            <c:idx val="443"/>
            <c:spPr>
              <a:solidFill>
                <a:srgbClr val="1A62A6"/>
              </a:solidFill>
            </c:spPr>
          </c:dPt>
          <c:dPt>
            <c:idx val="444"/>
            <c:spPr>
              <a:solidFill>
                <a:srgbClr val="A619E8"/>
              </a:solidFill>
            </c:spPr>
          </c:dPt>
          <c:dPt>
            <c:idx val="445"/>
            <c:spPr>
              <a:solidFill>
                <a:srgbClr val="BC91B9"/>
              </a:solidFill>
            </c:spPr>
          </c:dPt>
          <c:dPt>
            <c:idx val="446"/>
            <c:spPr>
              <a:solidFill>
                <a:srgbClr val="548BC8"/>
              </a:solidFill>
            </c:spPr>
          </c:dPt>
          <c:dPt>
            <c:idx val="447"/>
            <c:spPr>
              <a:solidFill>
                <a:srgbClr val="CF333D"/>
              </a:solidFill>
            </c:spPr>
          </c:dPt>
          <c:dPt>
            <c:idx val="448"/>
            <c:spPr>
              <a:solidFill>
                <a:srgbClr val="FF1608"/>
              </a:solidFill>
            </c:spPr>
          </c:dPt>
          <c:dPt>
            <c:idx val="449"/>
            <c:spPr>
              <a:solidFill>
                <a:srgbClr val="5176B7"/>
              </a:solidFill>
            </c:spPr>
          </c:dPt>
          <c:dPt>
            <c:idx val="450"/>
            <c:spPr>
              <a:solidFill>
                <a:srgbClr val="DF3EEC"/>
              </a:solidFill>
            </c:spPr>
          </c:dPt>
          <c:dPt>
            <c:idx val="451"/>
            <c:spPr>
              <a:solidFill>
                <a:srgbClr val="C3C9F6"/>
              </a:solidFill>
            </c:spPr>
          </c:dPt>
          <c:dPt>
            <c:idx val="452"/>
            <c:spPr>
              <a:solidFill>
                <a:srgbClr val="55A014"/>
              </a:solidFill>
            </c:spPr>
          </c:dPt>
          <c:dPt>
            <c:idx val="453"/>
            <c:spPr>
              <a:solidFill>
                <a:srgbClr val="0C4E71"/>
              </a:solidFill>
            </c:spPr>
          </c:dPt>
          <c:dPt>
            <c:idx val="454"/>
            <c:spPr>
              <a:solidFill>
                <a:srgbClr val="FF4254"/>
              </a:solidFill>
            </c:spPr>
          </c:dPt>
          <c:dPt>
            <c:idx val="455"/>
            <c:spPr>
              <a:solidFill>
                <a:srgbClr val="898AC9"/>
              </a:solidFill>
            </c:spPr>
          </c:dPt>
          <c:dPt>
            <c:idx val="456"/>
            <c:spPr>
              <a:solidFill>
                <a:srgbClr val="1763EF"/>
              </a:solidFill>
            </c:spPr>
          </c:dPt>
          <c:dPt>
            <c:idx val="457"/>
            <c:spPr>
              <a:solidFill>
                <a:srgbClr val="C90133"/>
              </a:solidFill>
            </c:spPr>
          </c:dPt>
          <c:dPt>
            <c:idx val="458"/>
            <c:spPr>
              <a:solidFill>
                <a:srgbClr val="56B45F"/>
              </a:solidFill>
            </c:spPr>
          </c:dPt>
          <c:dPt>
            <c:idx val="459"/>
            <c:spPr>
              <a:solidFill>
                <a:srgbClr val="4868A5"/>
              </a:solidFill>
            </c:spPr>
          </c:dPt>
          <c:dPt>
            <c:idx val="460"/>
            <c:spPr>
              <a:solidFill>
                <a:srgbClr val="FF6EA0"/>
              </a:solidFill>
            </c:spPr>
          </c:dPt>
          <c:dPt>
            <c:idx val="461"/>
            <c:spPr>
              <a:solidFill>
                <a:srgbClr val="C09EDA"/>
              </a:solidFill>
            </c:spPr>
          </c:dPt>
          <c:dPt>
            <c:idx val="462"/>
            <c:spPr>
              <a:solidFill>
                <a:srgbClr val="5087F2"/>
              </a:solidFill>
            </c:spPr>
          </c:dPt>
          <c:dPt>
            <c:idx val="463"/>
            <c:spPr>
              <a:solidFill>
                <a:srgbClr val="CF3A6F"/>
              </a:solidFill>
            </c:spPr>
          </c:dPt>
          <c:dPt>
            <c:idx val="464"/>
            <c:spPr>
              <a:solidFill>
                <a:srgbClr val="57C8AA"/>
              </a:solidFill>
            </c:spPr>
          </c:dPt>
          <c:dPt>
            <c:idx val="465"/>
            <c:spPr>
              <a:solidFill>
                <a:srgbClr val="8582D8"/>
              </a:solidFill>
            </c:spPr>
          </c:dPt>
          <c:dPt>
            <c:idx val="466"/>
            <c:spPr>
              <a:solidFill>
                <a:srgbClr val="FF9AEC"/>
              </a:solidFill>
            </c:spPr>
          </c:dPt>
          <c:dPt>
            <c:idx val="467"/>
            <c:spPr>
              <a:solidFill>
                <a:srgbClr val="F8B2EB"/>
              </a:solidFill>
            </c:spPr>
          </c:dPt>
          <c:dPt>
            <c:idx val="468"/>
            <c:spPr>
              <a:solidFill>
                <a:srgbClr val="89ACF5"/>
              </a:solidFill>
            </c:spPr>
          </c:dPt>
          <c:dPt>
            <c:idx val="469"/>
            <c:spPr>
              <a:solidFill>
                <a:srgbClr val="D572AC"/>
              </a:solidFill>
            </c:spPr>
          </c:dPt>
          <c:dPt>
            <c:idx val="470"/>
            <c:spPr>
              <a:solidFill>
                <a:srgbClr val="59DCF5"/>
              </a:solidFill>
            </c:spPr>
          </c:dPt>
          <c:dPt>
            <c:idx val="471"/>
            <c:spPr>
              <a:solidFill>
                <a:srgbClr val="C29C0C"/>
              </a:solidFill>
            </c:spPr>
          </c:dPt>
          <c:dPt>
            <c:idx val="472"/>
            <c:spPr>
              <a:solidFill>
                <a:srgbClr val="FFC539"/>
              </a:solidFill>
            </c:spPr>
          </c:dPt>
          <c:dPt>
            <c:idx val="473"/>
            <c:spPr>
              <a:solidFill>
                <a:srgbClr val="2FC5FC"/>
              </a:solidFill>
            </c:spPr>
          </c:dPt>
          <c:dPt>
            <c:idx val="474"/>
            <c:spPr>
              <a:solidFill>
                <a:srgbClr val="C1D0F9"/>
              </a:solidFill>
            </c:spPr>
          </c:dPt>
          <c:dPt>
            <c:idx val="475"/>
            <c:spPr>
              <a:solidFill>
                <a:srgbClr val="DCABE8"/>
              </a:solidFill>
            </c:spPr>
          </c:dPt>
          <c:dPt>
            <c:idx val="476"/>
            <c:spPr>
              <a:solidFill>
                <a:srgbClr val="5AF041"/>
              </a:solidFill>
            </c:spPr>
          </c:dPt>
          <c:dPt>
            <c:idx val="477"/>
            <c:spPr>
              <a:solidFill>
                <a:srgbClr val="FFB63F"/>
              </a:solidFill>
            </c:spPr>
          </c:dPt>
          <c:dPt>
            <c:idx val="478"/>
            <c:spPr>
              <a:solidFill>
                <a:srgbClr val="FFF185"/>
              </a:solidFill>
            </c:spPr>
          </c:dPt>
          <c:dPt>
            <c:idx val="479"/>
            <c:spPr>
              <a:solidFill>
                <a:srgbClr val="67D90D"/>
              </a:solidFill>
            </c:spPr>
          </c:dPt>
          <c:dPt>
            <c:idx val="480"/>
            <c:spPr>
              <a:solidFill>
                <a:srgbClr val="FAF5FC"/>
              </a:solidFill>
            </c:spPr>
          </c:dPt>
          <c:dPt>
            <c:idx val="481"/>
            <c:spPr>
              <a:solidFill>
                <a:srgbClr val="E2E325"/>
              </a:solidFill>
            </c:spPr>
          </c:dPt>
          <c:dPt>
            <c:idx val="482"/>
            <c:spPr>
              <a:solidFill>
                <a:srgbClr val="5B048C"/>
              </a:solidFill>
            </c:spPr>
          </c:dPt>
          <c:dPt>
            <c:idx val="483"/>
            <c:spPr>
              <a:solidFill>
                <a:srgbClr val="3CD073"/>
              </a:solidFill>
            </c:spPr>
          </c:dPt>
          <c:dPt>
            <c:idx val="484"/>
            <c:spPr>
              <a:solidFill>
                <a:srgbClr val="FF1DD1"/>
              </a:solidFill>
            </c:spPr>
          </c:dPt>
          <c:dPt>
            <c:idx val="485"/>
            <c:spPr>
              <a:solidFill>
                <a:srgbClr val="9EED1E"/>
              </a:solidFill>
            </c:spPr>
          </c:dPt>
          <c:dPt>
            <c:idx val="486"/>
            <c:spPr>
              <a:solidFill>
                <a:srgbClr val="331AFF"/>
              </a:solidFill>
            </c:spPr>
          </c:dPt>
          <c:dPt>
            <c:idx val="487"/>
            <c:spPr>
              <a:solidFill>
                <a:srgbClr val="E81B62"/>
              </a:solidFill>
            </c:spPr>
          </c:dPt>
          <c:dPt>
            <c:idx val="488"/>
            <c:spPr>
              <a:solidFill>
                <a:srgbClr val="5C18D7"/>
              </a:solidFill>
            </c:spPr>
          </c:dPt>
          <c:dPt>
            <c:idx val="489"/>
            <c:spPr>
              <a:solidFill>
                <a:srgbClr val="79EAA7"/>
              </a:solidFill>
            </c:spPr>
          </c:dPt>
          <c:dPt>
            <c:idx val="490"/>
            <c:spPr>
              <a:solidFill>
                <a:srgbClr val="FF491D"/>
              </a:solidFill>
            </c:spPr>
          </c:dPt>
          <c:dPt>
            <c:idx val="491"/>
            <c:spPr>
              <a:solidFill>
                <a:srgbClr val="D6012F"/>
              </a:solidFill>
            </c:spPr>
          </c:dPt>
          <c:dPt>
            <c:idx val="492"/>
            <c:spPr>
              <a:solidFill>
                <a:srgbClr val="6B3E03"/>
              </a:solidFill>
            </c:spPr>
          </c:dPt>
          <c:dPt>
            <c:idx val="493"/>
            <c:spPr>
              <a:solidFill>
                <a:srgbClr val="EF549E"/>
              </a:solidFill>
            </c:spPr>
          </c:dPt>
          <c:dPt>
            <c:idx val="494"/>
            <c:spPr>
              <a:solidFill>
                <a:srgbClr val="5D2C23"/>
              </a:solidFill>
            </c:spPr>
          </c:dPt>
          <c:dPt>
            <c:idx val="495"/>
            <c:spPr>
              <a:solidFill>
                <a:srgbClr val="B604DA"/>
              </a:solidFill>
            </c:spPr>
          </c:dPt>
          <c:dPt>
            <c:idx val="496"/>
            <c:spPr>
              <a:solidFill>
                <a:srgbClr val="FF7569"/>
              </a:solidFill>
            </c:spPr>
          </c:dPt>
          <c:dPt>
            <c:idx val="497"/>
            <c:spPr>
              <a:solidFill>
                <a:srgbClr val="0D1540"/>
              </a:solidFill>
            </c:spPr>
          </c:dPt>
          <c:dPt>
            <c:idx val="498"/>
            <c:spPr>
              <a:solidFill>
                <a:srgbClr val="A46306"/>
              </a:solidFill>
            </c:spPr>
          </c:dPt>
          <c:dPt>
            <c:idx val="499"/>
            <c:spPr>
              <a:solidFill>
                <a:srgbClr val="F58CDB"/>
              </a:solidFill>
            </c:spPr>
          </c:dPt>
          <c:dPt>
            <c:idx val="500"/>
            <c:spPr>
              <a:solidFill>
                <a:srgbClr val="5F406E"/>
              </a:solidFill>
            </c:spPr>
          </c:dPt>
          <c:dPt>
            <c:idx val="501"/>
            <c:spPr>
              <a:solidFill>
                <a:srgbClr val="F31E0E"/>
              </a:solidFill>
            </c:spPr>
          </c:dPt>
          <c:dPt>
            <c:idx val="502"/>
            <c:spPr>
              <a:solidFill>
                <a:srgbClr val="FFA0B6"/>
              </a:solidFill>
            </c:spPr>
          </c:dPt>
          <c:dPt>
            <c:idx val="503"/>
            <c:spPr>
              <a:solidFill>
                <a:srgbClr val="452851"/>
              </a:solidFill>
            </c:spPr>
          </c:dPt>
          <c:dPt>
            <c:idx val="504"/>
            <c:spPr>
              <a:solidFill>
                <a:srgbClr val="DD8709"/>
              </a:solidFill>
            </c:spPr>
          </c:dPt>
          <c:dPt>
            <c:idx val="505"/>
            <c:spPr>
              <a:solidFill>
                <a:srgbClr val="FBC517"/>
              </a:solidFill>
            </c:spPr>
          </c:dPt>
          <c:dPt>
            <c:idx val="506"/>
            <c:spPr>
              <a:solidFill>
                <a:srgbClr val="6054B9"/>
              </a:solidFill>
            </c:spPr>
          </c:dPt>
          <c:dPt>
            <c:idx val="507"/>
            <c:spPr>
              <a:solidFill>
                <a:srgbClr val="303841"/>
              </a:solidFill>
            </c:spPr>
          </c:dPt>
          <c:dPt>
            <c:idx val="508"/>
            <c:spPr>
              <a:solidFill>
                <a:srgbClr val="FFCC02"/>
              </a:solidFill>
            </c:spPr>
          </c:dPt>
          <c:dPt>
            <c:idx val="509"/>
            <c:spPr>
              <a:solidFill>
                <a:srgbClr val="7C3C62"/>
              </a:solidFill>
            </c:spPr>
          </c:dPt>
          <c:dPt>
            <c:idx val="510"/>
            <c:spPr>
              <a:solidFill>
                <a:srgbClr val="16AC0D"/>
              </a:solidFill>
            </c:spPr>
          </c:dPt>
          <c:dPt>
            <c:idx val="511"/>
            <c:spPr>
              <a:solidFill>
                <a:srgbClr val="02FD54"/>
              </a:solidFill>
            </c:spPr>
          </c:dPt>
          <c:dPt>
            <c:idx val="512"/>
            <c:spPr>
              <a:solidFill>
                <a:srgbClr val="616905"/>
              </a:solidFill>
            </c:spPr>
          </c:dPt>
          <c:dPt>
            <c:idx val="513"/>
            <c:spPr>
              <a:solidFill>
                <a:srgbClr val="6D5375"/>
              </a:solidFill>
            </c:spPr>
          </c:dPt>
          <c:dPt>
            <c:idx val="514"/>
            <c:spPr>
              <a:solidFill>
                <a:srgbClr val="FFF84E"/>
              </a:solidFill>
            </c:spPr>
          </c:dPt>
          <c:dPt>
            <c:idx val="515"/>
            <c:spPr>
              <a:solidFill>
                <a:srgbClr val="B45074"/>
              </a:solidFill>
            </c:spPr>
          </c:dPt>
          <c:dPt>
            <c:idx val="516"/>
            <c:spPr>
              <a:solidFill>
                <a:srgbClr val="4ED110"/>
              </a:solidFill>
            </c:spPr>
          </c:dPt>
          <c:dPt>
            <c:idx val="517"/>
            <c:spPr>
              <a:solidFill>
                <a:srgbClr val="083591"/>
              </a:solidFill>
            </c:spPr>
          </c:dPt>
          <c:dPt>
            <c:idx val="518"/>
            <c:spPr>
              <a:solidFill>
                <a:srgbClr val="627D50"/>
              </a:solidFill>
            </c:spPr>
          </c:dPt>
          <c:dPt>
            <c:idx val="519"/>
            <c:spPr>
              <a:solidFill>
                <a:srgbClr val="A96DA9"/>
              </a:solidFill>
            </c:spPr>
          </c:dPt>
          <c:dPt>
            <c:idx val="520"/>
            <c:spPr>
              <a:solidFill>
                <a:srgbClr val="FF249A"/>
              </a:solidFill>
            </c:spPr>
          </c:dPt>
          <c:dPt>
            <c:idx val="521"/>
            <c:spPr>
              <a:solidFill>
                <a:srgbClr val="EB6485"/>
              </a:solidFill>
            </c:spPr>
          </c:dPt>
          <c:dPt>
            <c:idx val="522"/>
            <c:spPr>
              <a:solidFill>
                <a:srgbClr val="87F513"/>
              </a:solidFill>
            </c:spPr>
          </c:dPt>
          <c:dPt>
            <c:idx val="523"/>
            <c:spPr>
              <a:solidFill>
                <a:srgbClr val="0E6ECD"/>
              </a:solidFill>
            </c:spPr>
          </c:dPt>
          <c:dPt>
            <c:idx val="524"/>
            <c:spPr>
              <a:solidFill>
                <a:srgbClr val="63919B"/>
              </a:solidFill>
            </c:spPr>
          </c:dPt>
          <c:dPt>
            <c:idx val="525"/>
            <c:spPr>
              <a:solidFill>
                <a:srgbClr val="E687DC"/>
              </a:solidFill>
            </c:spPr>
          </c:dPt>
          <c:dPt>
            <c:idx val="526"/>
            <c:spPr>
              <a:solidFill>
                <a:srgbClr val="FF50E6"/>
              </a:solidFill>
            </c:spPr>
          </c:dPt>
          <c:dPt>
            <c:idx val="527"/>
            <c:spPr>
              <a:solidFill>
                <a:srgbClr val="237896"/>
              </a:solidFill>
            </c:spPr>
          </c:dPt>
          <c:dPt>
            <c:idx val="528"/>
            <c:spPr>
              <a:solidFill>
                <a:srgbClr val="C01A16"/>
              </a:solidFill>
            </c:spPr>
          </c:dPt>
          <c:dPt>
            <c:idx val="529"/>
            <c:spPr>
              <a:solidFill>
                <a:srgbClr val="14A60A"/>
              </a:solidFill>
            </c:spPr>
          </c:dPt>
          <c:dPt>
            <c:idx val="530"/>
            <c:spPr>
              <a:solidFill>
                <a:srgbClr val="65A5E6"/>
              </a:solidFill>
            </c:spPr>
          </c:dPt>
          <c:dPt>
            <c:idx val="531"/>
            <c:spPr>
              <a:solidFill>
                <a:srgbClr val="23A110"/>
              </a:solidFill>
            </c:spPr>
          </c:dPt>
          <c:dPt>
            <c:idx val="532"/>
            <c:spPr>
              <a:solidFill>
                <a:srgbClr val="FF7B33"/>
              </a:solidFill>
            </c:spPr>
          </c:dPt>
          <c:dPt>
            <c:idx val="533"/>
            <c:spPr>
              <a:solidFill>
                <a:srgbClr val="5A8BA7"/>
              </a:solidFill>
            </c:spPr>
          </c:dPt>
          <c:dPt>
            <c:idx val="534"/>
            <c:spPr>
              <a:solidFill>
                <a:srgbClr val="F83E1A"/>
              </a:solidFill>
            </c:spPr>
          </c:dPt>
          <c:dPt>
            <c:idx val="535"/>
            <c:spPr>
              <a:solidFill>
                <a:srgbClr val="1BDF46"/>
              </a:solidFill>
            </c:spPr>
          </c:dPt>
          <c:dPt>
            <c:idx val="536"/>
            <c:spPr>
              <a:solidFill>
                <a:srgbClr val="66B932"/>
              </a:solidFill>
            </c:spPr>
          </c:dPt>
          <c:dPt>
            <c:idx val="537"/>
            <c:spPr>
              <a:solidFill>
                <a:srgbClr val="60BB43"/>
              </a:solidFill>
            </c:spPr>
          </c:dPt>
          <c:dPt>
            <c:idx val="538"/>
            <c:spPr>
              <a:solidFill>
                <a:srgbClr val="FFA77F"/>
              </a:solidFill>
            </c:spPr>
          </c:dPt>
          <c:dPt>
            <c:idx val="539"/>
            <c:spPr>
              <a:solidFill>
                <a:srgbClr val="929FB8"/>
              </a:solidFill>
            </c:spPr>
          </c:dPt>
          <c:dPt>
            <c:idx val="540"/>
            <c:spPr>
              <a:solidFill>
                <a:srgbClr val="31631D"/>
              </a:solidFill>
            </c:spPr>
          </c:dPt>
          <c:dPt>
            <c:idx val="541"/>
            <c:spPr>
              <a:solidFill>
                <a:srgbClr val="211783"/>
              </a:solidFill>
            </c:spPr>
          </c:dPt>
          <c:dPt>
            <c:idx val="542"/>
            <c:spPr>
              <a:solidFill>
                <a:srgbClr val="67CD7D"/>
              </a:solidFill>
            </c:spPr>
          </c:dPt>
          <c:dPt>
            <c:idx val="543"/>
            <c:spPr>
              <a:solidFill>
                <a:srgbClr val="9DD577"/>
              </a:solidFill>
            </c:spPr>
          </c:dPt>
          <c:dPt>
            <c:idx val="544"/>
            <c:spPr>
              <a:solidFill>
                <a:srgbClr val="FFD3CB"/>
              </a:solidFill>
            </c:spPr>
          </c:dPt>
          <c:dPt>
            <c:idx val="545"/>
            <c:spPr>
              <a:solidFill>
                <a:srgbClr val="C9B3C9"/>
              </a:solidFill>
            </c:spPr>
          </c:dPt>
          <c:dPt>
            <c:idx val="546"/>
            <c:spPr>
              <a:solidFill>
                <a:srgbClr val="6A8820"/>
              </a:solidFill>
            </c:spPr>
          </c:dPt>
          <c:dPt>
            <c:idx val="547"/>
            <c:spPr>
              <a:solidFill>
                <a:srgbClr val="274FC0"/>
              </a:solidFill>
            </c:spPr>
          </c:dPt>
          <c:dPt>
            <c:idx val="548"/>
            <c:spPr>
              <a:solidFill>
                <a:srgbClr val="68E1C8"/>
              </a:solidFill>
            </c:spPr>
          </c:dPt>
          <c:dPt>
            <c:idx val="549"/>
            <c:spPr>
              <a:solidFill>
                <a:srgbClr val="DAEFAB"/>
              </a:solidFill>
            </c:spPr>
          </c:dPt>
          <c:dPt>
            <c:idx val="550"/>
            <c:spPr>
              <a:solidFill>
                <a:srgbClr val="FFFF17"/>
              </a:solidFill>
            </c:spPr>
          </c:dPt>
          <c:dPt>
            <c:idx val="551"/>
            <c:spPr>
              <a:solidFill>
                <a:srgbClr val="01C7DA"/>
              </a:solidFill>
            </c:spPr>
          </c:dPt>
          <c:dPt>
            <c:idx val="552"/>
            <c:spPr>
              <a:solidFill>
                <a:srgbClr val="A2AC24"/>
              </a:solidFill>
            </c:spPr>
          </c:dPt>
          <c:dPt>
            <c:idx val="553"/>
            <c:spPr>
              <a:solidFill>
                <a:srgbClr val="2E88FC"/>
              </a:solidFill>
            </c:spPr>
          </c:dPt>
          <c:dPt>
            <c:idx val="554"/>
            <c:spPr>
              <a:solidFill>
                <a:srgbClr val="69F514"/>
              </a:solidFill>
            </c:spPr>
          </c:dPt>
          <c:dPt>
            <c:idx val="555"/>
            <c:spPr>
              <a:solidFill>
                <a:srgbClr val="1709DE"/>
              </a:solidFill>
            </c:spPr>
          </c:dPt>
          <c:dPt>
            <c:idx val="556"/>
            <c:spPr>
              <a:solidFill>
                <a:srgbClr val="FF2B63"/>
              </a:solidFill>
            </c:spPr>
          </c:dPt>
          <c:dPt>
            <c:idx val="557"/>
            <c:spPr>
              <a:solidFill>
                <a:srgbClr val="38DBEB"/>
              </a:solidFill>
            </c:spPr>
          </c:dPt>
          <c:dPt>
            <c:idx val="558"/>
            <c:spPr>
              <a:solidFill>
                <a:srgbClr val="DBD127"/>
              </a:solidFill>
            </c:spPr>
          </c:dPt>
          <c:dPt>
            <c:idx val="559"/>
            <c:spPr>
              <a:solidFill>
                <a:srgbClr val="34C039"/>
              </a:solidFill>
            </c:spPr>
          </c:dPt>
          <c:dPt>
            <c:idx val="560"/>
            <c:spPr>
              <a:solidFill>
                <a:srgbClr val="6B095F"/>
              </a:solidFill>
            </c:spPr>
          </c:dPt>
          <c:dPt>
            <c:idx val="561"/>
            <c:spPr>
              <a:solidFill>
                <a:srgbClr val="542312"/>
              </a:solidFill>
            </c:spPr>
          </c:dPt>
          <c:dPt>
            <c:idx val="562"/>
            <c:spPr>
              <a:solidFill>
                <a:srgbClr val="FF56B0"/>
              </a:solidFill>
            </c:spPr>
          </c:dPt>
          <c:dPt>
            <c:idx val="563"/>
            <c:spPr>
              <a:solidFill>
                <a:srgbClr val="70EEFC"/>
              </a:solidFill>
            </c:spPr>
          </c:dPt>
          <c:dPt>
            <c:idx val="564"/>
            <c:spPr>
              <a:solidFill>
                <a:srgbClr val="14F52A"/>
              </a:solidFill>
            </c:spPr>
          </c:dPt>
          <c:dPt>
            <c:idx val="565"/>
            <c:spPr>
              <a:solidFill>
                <a:srgbClr val="3AF975"/>
              </a:solidFill>
            </c:spPr>
          </c:dPt>
          <c:dPt>
            <c:idx val="566"/>
            <c:spPr>
              <a:solidFill>
                <a:srgbClr val="6C1DAA"/>
              </a:solidFill>
            </c:spPr>
          </c:dPt>
          <c:dPt>
            <c:idx val="567"/>
            <c:spPr>
              <a:solidFill>
                <a:srgbClr val="913D45"/>
              </a:solidFill>
            </c:spPr>
          </c:dPt>
          <c:dPt>
            <c:idx val="568"/>
            <c:spPr>
              <a:solidFill>
                <a:srgbClr val="FF82FC"/>
              </a:solidFill>
            </c:spPr>
          </c:dPt>
          <c:dPt>
            <c:idx val="569"/>
            <c:spPr>
              <a:solidFill>
                <a:srgbClr val="A7020D"/>
              </a:solidFill>
            </c:spPr>
          </c:dPt>
          <c:dPt>
            <c:idx val="570"/>
            <c:spPr>
              <a:solidFill>
                <a:srgbClr val="4D1A2E"/>
              </a:solidFill>
            </c:spPr>
          </c:dPt>
          <c:dPt>
            <c:idx val="571"/>
            <c:spPr>
              <a:solidFill>
                <a:srgbClr val="4131B2"/>
              </a:solidFill>
            </c:spPr>
          </c:dPt>
          <c:dPt>
            <c:idx val="572"/>
            <c:spPr>
              <a:solidFill>
                <a:srgbClr val="6D32F6"/>
              </a:solidFill>
            </c:spPr>
          </c:dPt>
          <c:dPt>
            <c:idx val="573"/>
            <c:spPr>
              <a:solidFill>
                <a:srgbClr val="CE5879"/>
              </a:solidFill>
            </c:spPr>
          </c:dPt>
          <c:dPt>
            <c:idx val="574"/>
            <c:spPr>
              <a:solidFill>
                <a:srgbClr val="FFAE48"/>
              </a:solidFill>
            </c:spPr>
          </c:dPt>
          <c:dPt>
            <c:idx val="575"/>
            <c:spPr>
              <a:solidFill>
                <a:srgbClr val="DF161F"/>
              </a:solidFill>
            </c:spPr>
          </c:dPt>
          <c:dPt>
            <c:idx val="576"/>
            <c:spPr>
              <a:solidFill>
                <a:srgbClr val="853F31"/>
              </a:solidFill>
            </c:spPr>
          </c:dPt>
          <c:dPt>
            <c:idx val="577"/>
            <c:spPr>
              <a:solidFill>
                <a:srgbClr val="4769EF"/>
              </a:solidFill>
            </c:spPr>
          </c:dPt>
          <c:dPt>
            <c:idx val="578"/>
            <c:spPr>
              <a:solidFill>
                <a:srgbClr val="6E4641"/>
              </a:solidFill>
            </c:spPr>
          </c:dPt>
          <c:dPt>
            <c:idx val="579"/>
            <c:spPr>
              <a:solidFill>
                <a:srgbClr val="0A72AD"/>
              </a:solidFill>
            </c:spPr>
          </c:dPt>
          <c:dPt>
            <c:idx val="580"/>
            <c:spPr>
              <a:solidFill>
                <a:srgbClr val="FFDA94"/>
              </a:solidFill>
            </c:spPr>
          </c:dPt>
          <c:dPt>
            <c:idx val="581"/>
            <c:spPr>
              <a:solidFill>
                <a:srgbClr val="162A30"/>
              </a:solidFill>
            </c:spPr>
          </c:dPt>
          <c:dPt>
            <c:idx val="582"/>
            <c:spPr>
              <a:solidFill>
                <a:srgbClr val="BE6334"/>
              </a:solidFill>
            </c:spPr>
          </c:dPt>
          <c:dPt>
            <c:idx val="583"/>
            <c:spPr>
              <a:solidFill>
                <a:srgbClr val="4DA22B"/>
              </a:solidFill>
            </c:spPr>
          </c:dPt>
          <c:dPt>
            <c:idx val="584"/>
            <c:spPr>
              <a:solidFill>
                <a:srgbClr val="6F5A8C"/>
              </a:solidFill>
            </c:spPr>
          </c:dPt>
          <c:dPt>
            <c:idx val="585"/>
            <c:spPr>
              <a:solidFill>
                <a:srgbClr val="478CE0"/>
              </a:solidFill>
            </c:spPr>
          </c:dPt>
          <c:dPt>
            <c:idx val="586"/>
            <c:spPr>
              <a:solidFill>
                <a:srgbClr val="FF06E0"/>
              </a:solidFill>
            </c:spPr>
          </c:dPt>
          <c:dPt>
            <c:idx val="587"/>
            <c:spPr>
              <a:solidFill>
                <a:srgbClr val="4E3E41"/>
              </a:solidFill>
            </c:spPr>
          </c:dPt>
          <c:dPt>
            <c:idx val="588"/>
            <c:spPr>
              <a:solidFill>
                <a:srgbClr val="F78837"/>
              </a:solidFill>
            </c:spPr>
          </c:dPt>
          <c:dPt>
            <c:idx val="589"/>
            <c:spPr>
              <a:solidFill>
                <a:srgbClr val="53DA68"/>
              </a:solidFill>
            </c:spPr>
          </c:dPt>
          <c:dPt>
            <c:idx val="590"/>
            <c:spPr>
              <a:solidFill>
                <a:srgbClr val="716ED7"/>
              </a:solidFill>
            </c:spPr>
          </c:dPt>
          <c:dPt>
            <c:idx val="591"/>
            <c:spPr>
              <a:solidFill>
                <a:srgbClr val="84A614"/>
              </a:solidFill>
            </c:spPr>
          </c:dPt>
          <c:dPt>
            <c:idx val="592"/>
            <c:spPr>
              <a:solidFill>
                <a:srgbClr val="FF312D"/>
              </a:solidFill>
            </c:spPr>
          </c:dPt>
          <c:dPt>
            <c:idx val="593"/>
            <c:spPr>
              <a:solidFill>
                <a:srgbClr val="855152"/>
              </a:solidFill>
            </c:spPr>
          </c:dPt>
          <c:dPt>
            <c:idx val="594"/>
            <c:spPr>
              <a:solidFill>
                <a:srgbClr val="2FAC3B"/>
              </a:solidFill>
            </c:spPr>
          </c:dPt>
          <c:dPt>
            <c:idx val="595"/>
            <c:spPr>
              <a:solidFill>
                <a:srgbClr val="5A13A4"/>
              </a:solidFill>
            </c:spPr>
          </c:dPt>
          <c:dPt>
            <c:idx val="596"/>
            <c:spPr>
              <a:solidFill>
                <a:srgbClr val="728223"/>
              </a:solidFill>
            </c:spPr>
          </c:dPt>
          <c:dPt>
            <c:idx val="597"/>
            <c:spPr>
              <a:solidFill>
                <a:srgbClr val="C1C047"/>
              </a:solidFill>
            </c:spPr>
          </c:dPt>
          <c:dPt>
            <c:idx val="598"/>
            <c:spPr>
              <a:solidFill>
                <a:srgbClr val="FF5D79"/>
              </a:solidFill>
            </c:spPr>
          </c:dPt>
          <c:dPt>
            <c:idx val="599"/>
            <c:spPr>
              <a:solidFill>
                <a:srgbClr val="BD6563"/>
              </a:solidFill>
            </c:spPr>
          </c:dPt>
          <c:dPt>
            <c:idx val="600"/>
            <c:spPr>
              <a:solidFill>
                <a:srgbClr val="68D13E"/>
              </a:solidFill>
            </c:spPr>
          </c:dPt>
          <c:dPt>
            <c:idx val="601"/>
            <c:spPr>
              <a:solidFill>
                <a:srgbClr val="604BE1"/>
              </a:solidFill>
            </c:spPr>
          </c:dPt>
          <c:dPt>
            <c:idx val="602"/>
            <c:spPr>
              <a:solidFill>
                <a:srgbClr val="73966E"/>
              </a:solidFill>
            </c:spPr>
          </c:dPt>
          <c:dPt>
            <c:idx val="603"/>
            <c:spPr>
              <a:solidFill>
                <a:srgbClr val="FEDA7B"/>
              </a:solidFill>
            </c:spPr>
          </c:dPt>
          <c:dPt>
            <c:idx val="604"/>
            <c:spPr>
              <a:solidFill>
                <a:srgbClr val="FF89C5"/>
              </a:solidFill>
            </c:spPr>
          </c:dPt>
          <c:dPt>
            <c:idx val="605"/>
            <c:spPr>
              <a:solidFill>
                <a:srgbClr val="F47974"/>
              </a:solidFill>
            </c:spPr>
          </c:dPt>
          <c:dPt>
            <c:idx val="606"/>
            <c:spPr>
              <a:solidFill>
                <a:srgbClr val="A1F641"/>
              </a:solidFill>
            </c:spPr>
          </c:dPt>
          <c:dPt>
            <c:idx val="607"/>
            <c:spPr>
              <a:solidFill>
                <a:srgbClr val="66831E"/>
              </a:solidFill>
            </c:spPr>
          </c:dPt>
          <c:dPt>
            <c:idx val="608"/>
            <c:spPr>
              <a:solidFill>
                <a:srgbClr val="74AAB9"/>
              </a:solidFill>
            </c:spPr>
          </c:dPt>
          <c:dPt>
            <c:idx val="609"/>
            <c:spPr>
              <a:solidFill>
                <a:srgbClr val="3BF4AF"/>
              </a:solidFill>
            </c:spPr>
          </c:dPt>
          <c:dPt>
            <c:idx val="610"/>
            <c:spPr>
              <a:solidFill>
                <a:srgbClr val="FFB511"/>
              </a:solidFill>
            </c:spPr>
          </c:dPt>
          <c:dPt>
            <c:idx val="611"/>
            <c:spPr>
              <a:solidFill>
                <a:srgbClr val="2C8D85"/>
              </a:solidFill>
            </c:spPr>
          </c:dPt>
          <c:dPt>
            <c:idx val="612"/>
            <c:spPr>
              <a:solidFill>
                <a:srgbClr val="D91A45"/>
              </a:solidFill>
            </c:spPr>
          </c:dPt>
          <c:dPt>
            <c:idx val="613"/>
            <c:spPr>
              <a:solidFill>
                <a:srgbClr val="6DBC5A"/>
              </a:solidFill>
            </c:spPr>
          </c:dPt>
          <c:dPt>
            <c:idx val="614"/>
            <c:spPr>
              <a:solidFill>
                <a:srgbClr val="75BE05"/>
              </a:solidFill>
            </c:spPr>
          </c:dPt>
          <c:dPt>
            <c:idx val="615"/>
            <c:spPr>
              <a:solidFill>
                <a:srgbClr val="780EE2"/>
              </a:solidFill>
            </c:spPr>
          </c:dPt>
          <c:dPt>
            <c:idx val="616"/>
            <c:spPr>
              <a:solidFill>
                <a:srgbClr val="FFE15D"/>
              </a:solidFill>
            </c:spPr>
          </c:dPt>
          <c:dPt>
            <c:idx val="617"/>
            <c:spPr>
              <a:solidFill>
                <a:srgbClr val="63A196"/>
              </a:solidFill>
            </c:spPr>
          </c:dPt>
          <c:dPt>
            <c:idx val="618"/>
            <c:spPr>
              <a:solidFill>
                <a:srgbClr val="123F48"/>
              </a:solidFill>
            </c:spPr>
          </c:dPt>
          <c:dPt>
            <c:idx val="619"/>
            <c:spPr>
              <a:solidFill>
                <a:srgbClr val="73F497"/>
              </a:solidFill>
            </c:spPr>
          </c:dPt>
          <c:dPt>
            <c:idx val="620"/>
            <c:spPr>
              <a:solidFill>
                <a:srgbClr val="77D250"/>
              </a:solidFill>
            </c:spPr>
          </c:dPt>
          <c:dPt>
            <c:idx val="621"/>
            <c:spPr>
              <a:solidFill>
                <a:srgbClr val="B52816"/>
              </a:solidFill>
            </c:spPr>
          </c:dPt>
          <c:dPt>
            <c:idx val="622"/>
            <c:spPr>
              <a:solidFill>
                <a:srgbClr val="FF0CAA"/>
              </a:solidFill>
            </c:spPr>
          </c:dPt>
          <c:dPt>
            <c:idx val="623"/>
            <c:spPr>
              <a:solidFill>
                <a:srgbClr val="9BB4A7"/>
              </a:solidFill>
            </c:spPr>
          </c:dPt>
          <c:dPt>
            <c:idx val="624"/>
            <c:spPr>
              <a:solidFill>
                <a:srgbClr val="4B634B"/>
              </a:solidFill>
            </c:spPr>
          </c:dPt>
          <c:dPt>
            <c:idx val="625"/>
            <c:spPr>
              <a:solidFill>
                <a:srgbClr val="792DD3"/>
              </a:solidFill>
            </c:spPr>
          </c:dPt>
          <c:dPt>
            <c:idx val="626"/>
            <c:spPr>
              <a:solidFill>
                <a:srgbClr val="78E69B"/>
              </a:solidFill>
            </c:spPr>
          </c:dPt>
          <c:dPt>
            <c:idx val="627"/>
            <c:spPr>
              <a:solidFill>
                <a:srgbClr val="F24249"/>
              </a:solidFill>
            </c:spPr>
          </c:dPt>
          <c:dPt>
            <c:idx val="628"/>
            <c:spPr>
              <a:solidFill>
                <a:srgbClr val="FF38F6"/>
              </a:solidFill>
            </c:spPr>
          </c:dPt>
          <c:dPt>
            <c:idx val="629"/>
            <c:spPr>
              <a:solidFill>
                <a:srgbClr val="D2C8B8"/>
              </a:solidFill>
            </c:spPr>
          </c:dPt>
          <c:dPt>
            <c:idx val="630"/>
            <c:spPr>
              <a:solidFill>
                <a:srgbClr val="84884F"/>
              </a:solidFill>
            </c:spPr>
          </c:dPt>
          <c:dPt>
            <c:idx val="631"/>
            <c:spPr>
              <a:solidFill>
                <a:srgbClr val="806510"/>
              </a:solidFill>
            </c:spPr>
          </c:dPt>
          <c:dPt>
            <c:idx val="632"/>
            <c:spPr>
              <a:solidFill>
                <a:srgbClr val="79FBE7"/>
              </a:solidFill>
            </c:spPr>
          </c:dPt>
          <c:dPt>
            <c:idx val="633"/>
            <c:spPr>
              <a:solidFill>
                <a:srgbClr val="2F5D7D"/>
              </a:solidFill>
            </c:spPr>
          </c:dPt>
          <c:dPt>
            <c:idx val="634"/>
            <c:spPr>
              <a:solidFill>
                <a:srgbClr val="FF6442"/>
              </a:solidFill>
            </c:spPr>
          </c:dPt>
          <c:dPt>
            <c:idx val="635"/>
            <c:spPr>
              <a:solidFill>
                <a:srgbClr val="0ADCCA"/>
              </a:solidFill>
            </c:spPr>
          </c:dPt>
          <c:dPt>
            <c:idx val="636"/>
            <c:spPr>
              <a:solidFill>
                <a:srgbClr val="BCAD52"/>
              </a:solidFill>
            </c:spPr>
          </c:dPt>
          <c:dPt>
            <c:idx val="637"/>
            <c:spPr>
              <a:solidFill>
                <a:srgbClr val="869D4D"/>
              </a:solidFill>
            </c:spPr>
          </c:dPt>
          <c:dPt>
            <c:idx val="638"/>
            <c:spPr>
              <a:solidFill>
                <a:srgbClr val="7A0F32"/>
              </a:solidFill>
            </c:spPr>
          </c:dPt>
          <c:dPt>
            <c:idx val="639"/>
            <c:spPr>
              <a:solidFill>
                <a:srgbClr val="6B77B1"/>
              </a:solidFill>
            </c:spPr>
          </c:dPt>
          <c:dPt>
            <c:idx val="640"/>
            <c:spPr>
              <a:solidFill>
                <a:srgbClr val="FF908E"/>
              </a:solidFill>
            </c:spPr>
          </c:dPt>
          <c:dPt>
            <c:idx val="641"/>
            <c:spPr>
              <a:solidFill>
                <a:srgbClr val="41F0DB"/>
              </a:solidFill>
            </c:spPr>
          </c:dPt>
          <c:dPt>
            <c:idx val="642"/>
            <c:spPr>
              <a:solidFill>
                <a:srgbClr val="F5D155"/>
              </a:solidFill>
            </c:spPr>
          </c:dPt>
          <c:dPt>
            <c:idx val="643"/>
            <c:spPr>
              <a:solidFill>
                <a:srgbClr val="8CD689"/>
              </a:solidFill>
            </c:spPr>
          </c:dPt>
          <c:dPt>
            <c:idx val="644"/>
            <c:spPr>
              <a:solidFill>
                <a:srgbClr val="7B237D"/>
              </a:solidFill>
            </c:spPr>
          </c:dPt>
          <c:dPt>
            <c:idx val="645"/>
            <c:spPr>
              <a:solidFill>
                <a:srgbClr val="A891E4"/>
              </a:solidFill>
            </c:spPr>
          </c:dPt>
          <c:dPt>
            <c:idx val="646"/>
            <c:spPr>
              <a:solidFill>
                <a:srgbClr val="FFBCDA"/>
              </a:solidFill>
            </c:spPr>
          </c:dPt>
          <c:dPt>
            <c:idx val="647"/>
            <c:spPr>
              <a:solidFill>
                <a:srgbClr val="7804EC"/>
              </a:solidFill>
            </c:spPr>
          </c:dPt>
          <c:dPt>
            <c:idx val="648"/>
            <c:spPr>
              <a:solidFill>
                <a:srgbClr val="2EF658"/>
              </a:solidFill>
            </c:spPr>
          </c:dPt>
          <c:dPt>
            <c:idx val="649"/>
            <c:spPr>
              <a:solidFill>
                <a:srgbClr val="920EC6"/>
              </a:solidFill>
            </c:spPr>
          </c:dPt>
          <c:dPt>
            <c:idx val="650"/>
            <c:spPr>
              <a:solidFill>
                <a:srgbClr val="7D37C8"/>
              </a:solidFill>
            </c:spPr>
          </c:dPt>
          <c:dPt>
            <c:idx val="651"/>
            <c:spPr>
              <a:solidFill>
                <a:srgbClr val="E5AB18"/>
              </a:solidFill>
            </c:spPr>
          </c:dPt>
          <c:dPt>
            <c:idx val="652"/>
            <c:spPr>
              <a:solidFill>
                <a:srgbClr val="FFE727"/>
              </a:solidFill>
            </c:spPr>
          </c:dPt>
          <c:dPt>
            <c:idx val="653"/>
            <c:spPr>
              <a:solidFill>
                <a:srgbClr val="B017FD"/>
              </a:solidFill>
            </c:spPr>
          </c:dPt>
          <c:dPt>
            <c:idx val="654"/>
            <c:spPr>
              <a:solidFill>
                <a:srgbClr val="661A5C"/>
              </a:solidFill>
            </c:spPr>
          </c:dPt>
          <c:dPt>
            <c:idx val="655"/>
            <c:spPr>
              <a:solidFill>
                <a:srgbClr val="994702"/>
              </a:solidFill>
            </c:spPr>
          </c:dPt>
          <c:dPt>
            <c:idx val="656"/>
            <c:spPr>
              <a:solidFill>
                <a:srgbClr val="7E4B14"/>
              </a:solidFill>
            </c:spPr>
          </c:dPt>
          <c:dPt>
            <c:idx val="657"/>
            <c:spPr>
              <a:solidFill>
                <a:srgbClr val="22C54B"/>
              </a:solidFill>
            </c:spPr>
          </c:dPt>
          <c:dPt>
            <c:idx val="658"/>
            <c:spPr>
              <a:solidFill>
                <a:srgbClr val="FF1373"/>
              </a:solidFill>
            </c:spPr>
          </c:dPt>
          <c:dPt>
            <c:idx val="659"/>
            <c:spPr>
              <a:solidFill>
                <a:srgbClr val="E82B0E"/>
              </a:solidFill>
            </c:spPr>
          </c:dPt>
          <c:dPt>
            <c:idx val="660"/>
            <c:spPr>
              <a:solidFill>
                <a:srgbClr val="9F3F5F"/>
              </a:solidFill>
            </c:spPr>
          </c:dPt>
          <c:dPt>
            <c:idx val="661"/>
            <c:spPr>
              <a:solidFill>
                <a:srgbClr val="9F7F3F"/>
              </a:solidFill>
            </c:spPr>
          </c:dPt>
          <c:dPt>
            <c:idx val="662"/>
            <c:spPr>
              <a:solidFill>
                <a:srgbClr val="7F5F5F"/>
              </a:solidFill>
            </c:spPr>
          </c:dPt>
          <c:dPt>
            <c:idx val="663"/>
            <c:spPr>
              <a:solidFill>
                <a:srgbClr val="5FDF7F"/>
              </a:solidFill>
            </c:spPr>
          </c:dPt>
          <c:dPt>
            <c:idx val="664"/>
            <c:spPr>
              <a:solidFill>
                <a:srgbClr val="FF3FBF"/>
              </a:solidFill>
            </c:spPr>
          </c:dPt>
          <c:dPt>
            <c:idx val="665"/>
            <c:spPr>
              <a:solidFill>
                <a:srgbClr val="1F3F1F"/>
              </a:solidFill>
            </c:spPr>
          </c:dPt>
          <c:dPt>
            <c:idx val="666"/>
            <c:spPr>
              <a:solidFill>
                <a:srgbClr val="D86462"/>
              </a:solidFill>
            </c:spPr>
          </c:dPt>
          <c:dPt>
            <c:idx val="667"/>
            <c:spPr>
              <a:solidFill>
                <a:srgbClr val="A5B77C"/>
              </a:solidFill>
            </c:spPr>
          </c:dPt>
          <c:dPt>
            <c:idx val="668"/>
            <c:spPr>
              <a:solidFill>
                <a:srgbClr val="8073AA"/>
              </a:solidFill>
            </c:spPr>
          </c:dPt>
          <c:dPt>
            <c:idx val="669"/>
            <c:spPr>
              <a:solidFill>
                <a:srgbClr val="9CF9B3"/>
              </a:solidFill>
            </c:spPr>
          </c:dPt>
          <c:dPt>
            <c:idx val="670"/>
            <c:spPr>
              <a:solidFill>
                <a:srgbClr val="FF6B0B"/>
              </a:solidFill>
            </c:spPr>
          </c:dPt>
          <c:dPt>
            <c:idx val="671"/>
            <c:spPr>
              <a:solidFill>
                <a:srgbClr val="575330"/>
              </a:solidFill>
            </c:spPr>
          </c:dPt>
          <c:dPt>
            <c:idx val="672"/>
            <c:spPr>
              <a:solidFill>
                <a:srgbClr val="108866"/>
              </a:solidFill>
            </c:spPr>
          </c:dPt>
          <c:dPt>
            <c:idx val="673"/>
            <c:spPr>
              <a:solidFill>
                <a:srgbClr val="ACF0B8"/>
              </a:solidFill>
            </c:spPr>
          </c:dPt>
          <c:dPt>
            <c:idx val="674"/>
            <c:spPr>
              <a:solidFill>
                <a:srgbClr val="8187F6"/>
              </a:solidFill>
            </c:spPr>
          </c:dPt>
          <c:dPt>
            <c:idx val="675"/>
            <c:spPr>
              <a:solidFill>
                <a:srgbClr val="D913E6"/>
              </a:solidFill>
            </c:spPr>
          </c:dPt>
          <c:dPt>
            <c:idx val="676"/>
            <c:spPr>
              <a:solidFill>
                <a:srgbClr val="FF9757"/>
              </a:solidFill>
            </c:spPr>
          </c:dPt>
          <c:dPt>
            <c:idx val="677"/>
            <c:spPr>
              <a:solidFill>
                <a:srgbClr val="8E6741"/>
              </a:solidFill>
            </c:spPr>
          </c:dPt>
          <c:dPt>
            <c:idx val="678"/>
            <c:spPr>
              <a:solidFill>
                <a:srgbClr val="49AD69"/>
              </a:solidFill>
            </c:spPr>
          </c:dPt>
          <c:dPt>
            <c:idx val="679"/>
            <c:spPr>
              <a:solidFill>
                <a:srgbClr val="B228F5"/>
              </a:solidFill>
            </c:spPr>
          </c:dPt>
          <c:dPt>
            <c:idx val="680"/>
            <c:spPr>
              <a:solidFill>
                <a:srgbClr val="839B41"/>
              </a:solidFill>
            </c:spPr>
          </c:dPt>
          <c:dPt>
            <c:idx val="681"/>
            <c:spPr>
              <a:solidFill>
                <a:srgbClr val="162D1A"/>
              </a:solidFill>
            </c:spPr>
          </c:dPt>
          <c:dPt>
            <c:idx val="682"/>
            <c:spPr>
              <a:solidFill>
                <a:srgbClr val="FFC2A4"/>
              </a:solidFill>
            </c:spPr>
          </c:dPt>
          <c:dPt>
            <c:idx val="683"/>
            <c:spPr>
              <a:solidFill>
                <a:srgbClr val="C67A52"/>
              </a:solidFill>
            </c:spPr>
          </c:dPt>
          <c:dPt>
            <c:idx val="684"/>
            <c:spPr>
              <a:solidFill>
                <a:srgbClr val="82D16C"/>
              </a:solidFill>
            </c:spPr>
          </c:dPt>
          <c:dPt>
            <c:idx val="685"/>
            <c:spPr>
              <a:solidFill>
                <a:srgbClr val="B86131"/>
              </a:solidFill>
            </c:spPr>
          </c:dPt>
          <c:dPt>
            <c:idx val="686"/>
            <c:spPr>
              <a:solidFill>
                <a:srgbClr val="84AF8C"/>
              </a:solidFill>
            </c:spPr>
          </c:dPt>
          <c:dPt>
            <c:idx val="687"/>
            <c:spPr>
              <a:solidFill>
                <a:srgbClr val="53474D"/>
              </a:solidFill>
            </c:spPr>
          </c:dPt>
          <c:dPt>
            <c:idx val="688"/>
            <c:spPr>
              <a:solidFill>
                <a:srgbClr val="FFEEF0"/>
              </a:solidFill>
            </c:spPr>
          </c:dPt>
          <c:dPt>
            <c:idx val="689"/>
            <c:spPr>
              <a:solidFill>
                <a:srgbClr val="FD8E63"/>
              </a:solidFill>
            </c:spPr>
          </c:dPt>
          <c:dPt>
            <c:idx val="690"/>
            <c:spPr>
              <a:solidFill>
                <a:srgbClr val="BBF670"/>
              </a:solidFill>
            </c:spPr>
          </c:dPt>
          <c:dPt>
            <c:idx val="691"/>
            <c:spPr>
              <a:solidFill>
                <a:srgbClr val="BF996E"/>
              </a:solidFill>
            </c:spPr>
          </c:dPt>
          <c:dPt>
            <c:idx val="692"/>
            <c:spPr>
              <a:solidFill>
                <a:srgbClr val="85C4D8"/>
              </a:solidFill>
            </c:spPr>
          </c:dPt>
          <c:dPt>
            <c:idx val="693"/>
            <c:spPr>
              <a:solidFill>
                <a:srgbClr val="906281"/>
              </a:solidFill>
            </c:spPr>
          </c:dPt>
          <c:dPt>
            <c:idx val="694"/>
            <c:spPr>
              <a:solidFill>
                <a:srgbClr val="FF1A3C"/>
              </a:solidFill>
            </c:spPr>
          </c:dPt>
          <c:dPt>
            <c:idx val="695"/>
            <c:spPr>
              <a:solidFill>
                <a:srgbClr val="35A275"/>
              </a:solidFill>
            </c:spPr>
          </c:dPt>
          <c:dPt>
            <c:idx val="696"/>
            <c:spPr>
              <a:solidFill>
                <a:srgbClr val="F31B73"/>
              </a:solidFill>
            </c:spPr>
          </c:dPt>
          <c:dPt>
            <c:idx val="697"/>
            <c:spPr>
              <a:solidFill>
                <a:srgbClr val="C5D1AB"/>
              </a:solidFill>
            </c:spPr>
          </c:dPt>
          <c:dPt>
            <c:idx val="698"/>
            <c:spPr>
              <a:solidFill>
                <a:srgbClr val="86D823"/>
              </a:solidFill>
            </c:spPr>
          </c:dPt>
          <c:dPt>
            <c:idx val="699"/>
            <c:spPr>
              <a:solidFill>
                <a:srgbClr val="CC7CB5"/>
              </a:solidFill>
            </c:spPr>
          </c:dPt>
          <c:dPt>
            <c:idx val="700"/>
            <c:spPr>
              <a:solidFill>
                <a:srgbClr val="FF4688"/>
              </a:solidFill>
            </c:spPr>
          </c:dPt>
          <c:dPt>
            <c:idx val="701"/>
            <c:spPr>
              <a:solidFill>
                <a:srgbClr val="6CB686"/>
              </a:solidFill>
            </c:spPr>
          </c:dPt>
          <c:dPt>
            <c:idx val="702"/>
            <c:spPr>
              <a:solidFill>
                <a:srgbClr val="2C3F76"/>
              </a:solidFill>
            </c:spPr>
          </c:dPt>
          <c:dPt>
            <c:idx val="703"/>
            <c:spPr>
              <a:solidFill>
                <a:srgbClr val="CB0AE7"/>
              </a:solidFill>
            </c:spPr>
          </c:dPt>
          <c:dPt>
            <c:idx val="704"/>
            <c:spPr>
              <a:solidFill>
                <a:srgbClr val="87EC6E"/>
              </a:solidFill>
            </c:spPr>
          </c:dPt>
          <c:dPt>
            <c:idx val="705"/>
            <c:spPr>
              <a:solidFill>
                <a:srgbClr val="0996E8"/>
              </a:solidFill>
            </c:spPr>
          </c:dPt>
          <c:dPt>
            <c:idx val="706"/>
            <c:spPr>
              <a:solidFill>
                <a:srgbClr val="FF72D4"/>
              </a:solidFill>
            </c:spPr>
          </c:dPt>
          <c:dPt>
            <c:idx val="707"/>
            <c:spPr>
              <a:solidFill>
                <a:srgbClr val="A3CA97"/>
              </a:solidFill>
            </c:spPr>
          </c:dPt>
          <c:dPt>
            <c:idx val="708"/>
            <c:spPr>
              <a:solidFill>
                <a:srgbClr val="656479"/>
              </a:solidFill>
            </c:spPr>
          </c:dPt>
          <c:dPt>
            <c:idx val="709"/>
            <c:spPr>
              <a:solidFill>
                <a:srgbClr val="D14224"/>
              </a:solidFill>
            </c:spPr>
          </c:dPt>
          <c:dPt>
            <c:idx val="710"/>
            <c:spPr>
              <a:solidFill>
                <a:srgbClr val="8900B9"/>
              </a:solidFill>
            </c:spPr>
          </c:dPt>
          <c:dPt>
            <c:idx val="711"/>
            <c:spPr>
              <a:solidFill>
                <a:srgbClr val="46B01C"/>
              </a:solidFill>
            </c:spPr>
          </c:dPt>
          <c:dPt>
            <c:idx val="712"/>
            <c:spPr>
              <a:solidFill>
                <a:srgbClr val="FF9D21"/>
              </a:solidFill>
            </c:spPr>
          </c:dPt>
          <c:dPt>
            <c:idx val="713"/>
            <c:spPr>
              <a:solidFill>
                <a:srgbClr val="DBDDA8"/>
              </a:solidFill>
            </c:spPr>
          </c:dPt>
          <c:dPt>
            <c:idx val="714"/>
            <c:spPr>
              <a:solidFill>
                <a:srgbClr val="9D887D"/>
              </a:solidFill>
            </c:spPr>
          </c:dPt>
          <c:dPt>
            <c:idx val="715"/>
            <c:spPr>
              <a:solidFill>
                <a:srgbClr val="D87B60"/>
              </a:solidFill>
            </c:spPr>
          </c:dPt>
          <c:dPt>
            <c:idx val="716"/>
            <c:spPr>
              <a:solidFill>
                <a:srgbClr val="8A1405"/>
              </a:solidFill>
            </c:spPr>
          </c:dPt>
          <c:dPt>
            <c:idx val="717"/>
            <c:spPr>
              <a:solidFill>
                <a:srgbClr val="83CA4F"/>
              </a:solidFill>
            </c:spPr>
          </c:dPt>
          <c:dPt>
            <c:idx val="718"/>
            <c:spPr>
              <a:solidFill>
                <a:srgbClr val="FFC96D"/>
              </a:solidFill>
            </c:spPr>
          </c:dPt>
          <c:dPt>
            <c:idx val="719"/>
            <c:spPr>
              <a:solidFill>
                <a:srgbClr val="13F1B9"/>
              </a:solidFill>
            </c:spPr>
          </c:dPt>
          <c:dPt>
            <c:idx val="720"/>
            <c:spPr>
              <a:solidFill>
                <a:srgbClr val="D6AD80"/>
              </a:solidFill>
            </c:spPr>
          </c:dPt>
          <c:dPt>
            <c:idx val="721"/>
            <c:spPr>
              <a:solidFill>
                <a:srgbClr val="DEB39D"/>
              </a:solidFill>
            </c:spPr>
          </c:dPt>
          <c:dPt>
            <c:idx val="722"/>
            <c:spPr>
              <a:solidFill>
                <a:srgbClr val="8B2850"/>
              </a:solidFill>
            </c:spPr>
          </c:dPt>
          <c:dPt>
            <c:idx val="723"/>
            <c:spPr>
              <a:solidFill>
                <a:srgbClr val="C0E483"/>
              </a:solidFill>
            </c:spPr>
          </c:dPt>
          <c:dPt>
            <c:idx val="724"/>
            <c:spPr>
              <a:solidFill>
                <a:srgbClr val="FFF5B9"/>
              </a:solidFill>
            </c:spPr>
          </c:dPt>
          <c:dPt>
            <c:idx val="725"/>
            <c:spPr>
              <a:solidFill>
                <a:srgbClr val="4A05CA"/>
              </a:solidFill>
            </c:spPr>
          </c:dPt>
          <c:dPt>
            <c:idx val="726"/>
            <c:spPr>
              <a:solidFill>
                <a:srgbClr val="0FD283"/>
              </a:solidFill>
            </c:spPr>
          </c:dPt>
          <c:dPt>
            <c:idx val="727"/>
            <c:spPr>
              <a:solidFill>
                <a:srgbClr val="E4EBDA"/>
              </a:solidFill>
            </c:spPr>
          </c:dPt>
          <c:dPt>
            <c:idx val="728"/>
            <c:spPr>
              <a:solidFill>
                <a:srgbClr val="8C3C9B"/>
              </a:solidFill>
            </c:spPr>
          </c:dPt>
          <c:dPt>
            <c:idx val="729"/>
            <c:spPr>
              <a:solidFill>
                <a:srgbClr val="FDFEB7"/>
              </a:solidFill>
            </c:spPr>
          </c:dPt>
          <c:dPt>
            <c:idx val="730"/>
            <c:spPr>
              <a:solidFill>
                <a:srgbClr val="FF2105"/>
              </a:solidFill>
            </c:spPr>
          </c:dPt>
          <c:dPt>
            <c:idx val="731"/>
            <c:spPr>
              <a:solidFill>
                <a:srgbClr val="8219DB"/>
              </a:solidFill>
            </c:spPr>
          </c:dPt>
          <c:dPt>
            <c:idx val="732"/>
            <c:spPr>
              <a:solidFill>
                <a:srgbClr val="47F687"/>
              </a:solidFill>
            </c:spPr>
          </c:dPt>
          <c:dPt>
            <c:idx val="733"/>
            <c:spPr>
              <a:solidFill>
                <a:srgbClr val="EB2416"/>
              </a:solidFill>
            </c:spPr>
          </c:dPt>
          <c:dPt>
            <c:idx val="734"/>
            <c:spPr>
              <a:solidFill>
                <a:srgbClr val="8D50E7"/>
              </a:solidFill>
            </c:spPr>
          </c:dPt>
          <c:dPt>
            <c:idx val="735"/>
            <c:spPr>
              <a:solidFill>
                <a:srgbClr val="3A18EA"/>
              </a:solidFill>
            </c:spPr>
          </c:dPt>
          <c:dPt>
            <c:idx val="736"/>
            <c:spPr>
              <a:solidFill>
                <a:srgbClr val="FF4D51"/>
              </a:solidFill>
            </c:spPr>
          </c:dPt>
          <c:dPt>
            <c:idx val="737"/>
            <c:spPr>
              <a:solidFill>
                <a:srgbClr val="B92DEC"/>
              </a:solidFill>
            </c:spPr>
          </c:dPt>
          <c:dPt>
            <c:idx val="738"/>
            <c:spPr>
              <a:solidFill>
                <a:srgbClr val="801B8A"/>
              </a:solidFill>
            </c:spPr>
          </c:dPt>
          <c:dPt>
            <c:idx val="739"/>
            <c:spPr>
              <a:solidFill>
                <a:srgbClr val="F15C53"/>
              </a:solidFill>
            </c:spPr>
          </c:dPt>
          <c:dPt>
            <c:idx val="740"/>
            <c:spPr>
              <a:solidFill>
                <a:srgbClr val="8F6432"/>
              </a:solidFill>
            </c:spPr>
          </c:dPt>
          <c:dPt>
            <c:idx val="741"/>
            <c:spPr>
              <a:solidFill>
                <a:srgbClr val="77321E"/>
              </a:solidFill>
            </c:spPr>
          </c:dPt>
          <c:dPt>
            <c:idx val="742"/>
            <c:spPr>
              <a:solidFill>
                <a:srgbClr val="FF789E"/>
              </a:solidFill>
            </c:spPr>
          </c:dPt>
          <c:dPt>
            <c:idx val="743"/>
            <c:spPr>
              <a:solidFill>
                <a:srgbClr val="F140FD"/>
              </a:solidFill>
            </c:spPr>
          </c:dPt>
          <c:dPt>
            <c:idx val="744"/>
            <c:spPr>
              <a:solidFill>
                <a:srgbClr val="B93F8D"/>
              </a:solidFill>
            </c:spPr>
          </c:dPt>
          <c:dPt>
            <c:idx val="745"/>
            <c:spPr>
              <a:solidFill>
                <a:srgbClr val="F7958F"/>
              </a:solidFill>
            </c:spPr>
          </c:dPt>
          <c:dPt>
            <c:idx val="746"/>
            <c:spPr>
              <a:solidFill>
                <a:srgbClr val="90787D"/>
              </a:solidFill>
            </c:spPr>
          </c:dPt>
          <c:dPt>
            <c:idx val="747"/>
            <c:spPr>
              <a:solidFill>
                <a:srgbClr val="B44C51"/>
              </a:solidFill>
            </c:spPr>
          </c:dPt>
          <c:dPt>
            <c:idx val="748"/>
            <c:spPr>
              <a:solidFill>
                <a:srgbClr val="FFA4EA"/>
              </a:solidFill>
            </c:spPr>
          </c:dPt>
          <c:dPt>
            <c:idx val="749"/>
            <c:spPr>
              <a:solidFill>
                <a:srgbClr val="28540E"/>
              </a:solidFill>
            </c:spPr>
          </c:dPt>
          <c:dPt>
            <c:idx val="750"/>
            <c:spPr>
              <a:solidFill>
                <a:srgbClr val="F26491"/>
              </a:solidFill>
            </c:spPr>
          </c:dPt>
          <c:dPt>
            <c:idx val="751"/>
            <c:spPr>
              <a:solidFill>
                <a:srgbClr val="FECDCC"/>
              </a:solidFill>
            </c:spPr>
          </c:dPt>
          <c:dPt>
            <c:idx val="752"/>
            <c:spPr>
              <a:solidFill>
                <a:srgbClr val="918DC9"/>
              </a:solidFill>
            </c:spPr>
          </c:dPt>
          <c:dPt>
            <c:idx val="753"/>
            <c:spPr>
              <a:solidFill>
                <a:srgbClr val="F16785"/>
              </a:solidFill>
            </c:spPr>
          </c:dPt>
          <c:dPt>
            <c:idx val="754"/>
            <c:spPr>
              <a:solidFill>
                <a:srgbClr val="FFD036"/>
              </a:solidFill>
            </c:spPr>
          </c:dPt>
          <c:dPt>
            <c:idx val="755"/>
            <c:spPr>
              <a:solidFill>
                <a:srgbClr val="606820"/>
              </a:solidFill>
            </c:spPr>
          </c:dPt>
          <c:dPt>
            <c:idx val="756"/>
            <c:spPr>
              <a:solidFill>
                <a:srgbClr val="2A8994"/>
              </a:solidFill>
            </c:spPr>
          </c:dPt>
          <c:dPt>
            <c:idx val="757"/>
            <c:spPr>
              <a:solidFill>
                <a:srgbClr val="040509"/>
              </a:solidFill>
            </c:spPr>
          </c:dPt>
          <c:dPt>
            <c:idx val="758"/>
            <c:spPr>
              <a:solidFill>
                <a:srgbClr val="92A114"/>
              </a:solidFill>
            </c:spPr>
          </c:dPt>
          <c:dPt>
            <c:idx val="759"/>
            <c:spPr>
              <a:solidFill>
                <a:srgbClr val="2D81B9"/>
              </a:solidFill>
            </c:spPr>
          </c:dPt>
          <c:dPt>
            <c:idx val="760"/>
            <c:spPr>
              <a:solidFill>
                <a:srgbClr val="FFFC82"/>
              </a:solidFill>
            </c:spPr>
          </c:dPt>
          <c:dPt>
            <c:idx val="761"/>
            <c:spPr>
              <a:solidFill>
                <a:srgbClr val="977C31"/>
              </a:solidFill>
            </c:spPr>
          </c:dPt>
          <c:dPt>
            <c:idx val="762"/>
            <c:spPr>
              <a:solidFill>
                <a:srgbClr val="63AD97"/>
              </a:solidFill>
            </c:spPr>
          </c:dPt>
          <c:dPt>
            <c:idx val="763"/>
            <c:spPr>
              <a:solidFill>
                <a:srgbClr val="0A3E45"/>
              </a:solidFill>
            </c:spPr>
          </c:dPt>
          <c:dPt>
            <c:idx val="764"/>
            <c:spPr>
              <a:solidFill>
                <a:srgbClr val="93B55F"/>
              </a:solidFill>
            </c:spPr>
          </c:dPt>
          <c:dPt>
            <c:idx val="765"/>
            <c:spPr>
              <a:solidFill>
                <a:srgbClr val="6A9BEC"/>
              </a:solidFill>
            </c:spPr>
          </c:dPt>
          <c:dPt>
            <c:idx val="766"/>
            <c:spPr>
              <a:solidFill>
                <a:srgbClr val="FF28CE"/>
              </a:solidFill>
            </c:spPr>
          </c:dPt>
          <c:dPt>
            <c:idx val="767"/>
            <c:spPr>
              <a:solidFill>
                <a:srgbClr val="CE9042"/>
              </a:solidFill>
            </c:spPr>
          </c:dPt>
          <c:dPt>
            <c:idx val="768"/>
            <c:spPr>
              <a:solidFill>
                <a:srgbClr val="9CD29A"/>
              </a:solidFill>
            </c:spPr>
          </c:dPt>
          <c:dPt>
            <c:idx val="769"/>
            <c:spPr>
              <a:solidFill>
                <a:srgbClr val="107682"/>
              </a:solidFill>
            </c:spPr>
          </c:dPt>
          <c:dPt>
            <c:idx val="770"/>
            <c:spPr>
              <a:solidFill>
                <a:srgbClr val="95C9AA"/>
              </a:solidFill>
            </c:spPr>
          </c:dPt>
          <c:dPt>
            <c:idx val="771"/>
            <c:spPr>
              <a:solidFill>
                <a:srgbClr val="A7B520"/>
              </a:solidFill>
            </c:spPr>
          </c:dPt>
          <c:dPt>
            <c:idx val="772"/>
            <c:spPr>
              <a:solidFill>
                <a:srgbClr val="FF531B"/>
              </a:solidFill>
            </c:spPr>
          </c:dPt>
          <c:dPt>
            <c:idx val="773"/>
            <c:spPr>
              <a:solidFill>
                <a:srgbClr val="06A353"/>
              </a:solidFill>
            </c:spPr>
          </c:dPt>
          <c:dPt>
            <c:idx val="774"/>
            <c:spPr>
              <a:solidFill>
                <a:srgbClr val="D4F69E"/>
              </a:solidFill>
            </c:spPr>
          </c:dPt>
          <c:dPt>
            <c:idx val="775"/>
            <c:spPr>
              <a:solidFill>
                <a:srgbClr val="17AFBE"/>
              </a:solidFill>
            </c:spPr>
          </c:dPt>
          <c:dPt>
            <c:idx val="776"/>
            <c:spPr>
              <a:solidFill>
                <a:srgbClr val="96DDF6"/>
              </a:solidFill>
            </c:spPr>
          </c:dPt>
          <c:dPt>
            <c:idx val="777"/>
            <c:spPr>
              <a:solidFill>
                <a:srgbClr val="E4CF53"/>
              </a:solidFill>
            </c:spPr>
          </c:dPt>
          <c:dPt>
            <c:idx val="778"/>
            <c:spPr>
              <a:solidFill>
                <a:srgbClr val="FF7F67"/>
              </a:solidFill>
            </c:spPr>
          </c:dPt>
          <c:dPt>
            <c:idx val="779"/>
            <c:spPr>
              <a:solidFill>
                <a:srgbClr val="3EB764"/>
              </a:solidFill>
            </c:spPr>
          </c:dPt>
          <c:dPt>
            <c:idx val="780"/>
            <c:spPr>
              <a:solidFill>
                <a:srgbClr val="0D1BA1"/>
              </a:solidFill>
            </c:spPr>
          </c:dPt>
          <c:dPt>
            <c:idx val="781"/>
            <c:spPr>
              <a:solidFill>
                <a:srgbClr val="1DE7FB"/>
              </a:solidFill>
            </c:spPr>
          </c:dPt>
          <c:dPt>
            <c:idx val="782"/>
            <c:spPr>
              <a:solidFill>
                <a:srgbClr val="97F141"/>
              </a:solidFill>
            </c:spPr>
          </c:dPt>
          <c:dPt>
            <c:idx val="783"/>
            <c:spPr>
              <a:solidFill>
                <a:srgbClr val="21E987"/>
              </a:solidFill>
            </c:spPr>
          </c:dPt>
          <c:dPt>
            <c:idx val="784"/>
            <c:spPr>
              <a:solidFill>
                <a:srgbClr val="FFABB3"/>
              </a:solidFill>
            </c:spPr>
          </c:dPt>
          <c:dPt>
            <c:idx val="785"/>
            <c:spPr>
              <a:solidFill>
                <a:srgbClr val="75CB75"/>
              </a:solidFill>
            </c:spPr>
          </c:dPt>
          <c:dPt>
            <c:idx val="786"/>
            <c:spPr>
              <a:solidFill>
                <a:srgbClr val="4640A4"/>
              </a:solidFill>
            </c:spPr>
          </c:dPt>
          <c:dPt>
            <c:idx val="787"/>
            <c:spPr>
              <a:solidFill>
                <a:srgbClr val="231F38"/>
              </a:solidFill>
            </c:spPr>
          </c:dPt>
          <c:dPt>
            <c:idx val="788"/>
            <c:spPr>
              <a:solidFill>
                <a:srgbClr val="98058C"/>
              </a:solidFill>
            </c:spPr>
          </c:dPt>
          <c:dPt>
            <c:idx val="789"/>
            <c:spPr>
              <a:solidFill>
                <a:srgbClr val="5E03BB"/>
              </a:solidFill>
            </c:spPr>
          </c:dPt>
          <c:dPt>
            <c:idx val="790"/>
            <c:spPr>
              <a:solidFill>
                <a:srgbClr val="FFD7FF"/>
              </a:solidFill>
            </c:spPr>
          </c:dPt>
          <c:dPt>
            <c:idx val="791"/>
            <c:spPr>
              <a:solidFill>
                <a:srgbClr val="ADDF86"/>
              </a:solidFill>
            </c:spPr>
          </c:dPt>
          <c:dPt>
            <c:idx val="792"/>
            <c:spPr>
              <a:solidFill>
                <a:srgbClr val="7E64A8"/>
              </a:solidFill>
            </c:spPr>
          </c:dPt>
          <c:dPt>
            <c:idx val="793"/>
            <c:spPr>
              <a:solidFill>
                <a:srgbClr val="2A5874"/>
              </a:solidFill>
            </c:spPr>
          </c:dPt>
          <c:dPt>
            <c:idx val="794"/>
            <c:spPr>
              <a:solidFill>
                <a:srgbClr val="9919D8"/>
              </a:solidFill>
            </c:spPr>
          </c:dPt>
          <c:dPt>
            <c:idx val="795"/>
            <c:spPr>
              <a:solidFill>
                <a:srgbClr val="9B1DEE"/>
              </a:solidFill>
            </c:spPr>
          </c:dPt>
          <c:dPt>
            <c:idx val="796"/>
            <c:spPr>
              <a:solidFill>
                <a:srgbClr val="FF034B"/>
              </a:solidFill>
            </c:spPr>
          </c:dPt>
          <c:dPt>
            <c:idx val="797"/>
            <c:spPr>
              <a:solidFill>
                <a:srgbClr val="E4F397"/>
              </a:solidFill>
            </c:spPr>
          </c:dPt>
          <c:dPt>
            <c:idx val="798"/>
            <c:spPr>
              <a:solidFill>
                <a:srgbClr val="B789AB"/>
              </a:solidFill>
            </c:spPr>
          </c:dPt>
          <c:dPt>
            <c:idx val="799"/>
            <c:spPr>
              <a:solidFill>
                <a:srgbClr val="3090B1"/>
              </a:solidFill>
            </c:spPr>
          </c:dPt>
          <c:dPt>
            <c:idx val="800"/>
            <c:spPr>
              <a:solidFill>
                <a:srgbClr val="9B2D23"/>
              </a:solidFill>
            </c:spPr>
          </c:dPt>
          <c:dPt>
            <c:idx val="801"/>
            <c:spPr>
              <a:solidFill>
                <a:srgbClr val="D83722"/>
              </a:solidFill>
            </c:spPr>
          </c:dPt>
          <c:dPt>
            <c:idx val="802"/>
            <c:spPr>
              <a:solidFill>
                <a:srgbClr val="FF2E98"/>
              </a:solidFill>
            </c:spPr>
          </c:dPt>
          <c:dPt>
            <c:idx val="803"/>
            <c:spPr>
              <a:solidFill>
                <a:srgbClr val="1C06A8"/>
              </a:solidFill>
            </c:spPr>
          </c:dPt>
          <c:dPt>
            <c:idx val="804"/>
            <c:spPr>
              <a:solidFill>
                <a:srgbClr val="F0ADAE"/>
              </a:solidFill>
            </c:spPr>
          </c:dPt>
          <c:dPt>
            <c:idx val="805"/>
            <c:spPr>
              <a:solidFill>
                <a:srgbClr val="36C9ED"/>
              </a:solidFill>
            </c:spPr>
          </c:dPt>
          <c:dPt>
            <c:idx val="806"/>
            <c:spPr>
              <a:solidFill>
                <a:srgbClr val="9C416E"/>
              </a:solidFill>
            </c:spPr>
          </c:dPt>
          <c:dPt>
            <c:idx val="807"/>
            <c:spPr>
              <a:solidFill>
                <a:srgbClr val="155155"/>
              </a:solidFill>
            </c:spPr>
          </c:dPt>
          <c:dPt>
            <c:idx val="808"/>
            <c:spPr>
              <a:solidFill>
                <a:srgbClr val="FF5AE4"/>
              </a:solidFill>
            </c:spPr>
          </c:dPt>
          <c:dPt>
            <c:idx val="809"/>
            <c:spPr>
              <a:solidFill>
                <a:srgbClr val="531AB9"/>
              </a:solidFill>
            </c:spPr>
          </c:dPt>
          <c:dPt>
            <c:idx val="810"/>
            <c:spPr>
              <a:solidFill>
                <a:srgbClr val="29D2B2"/>
              </a:solidFill>
            </c:spPr>
          </c:dPt>
          <c:dPt>
            <c:idx val="811"/>
            <c:spPr>
              <a:solidFill>
                <a:srgbClr val="3D012A"/>
              </a:solidFill>
            </c:spPr>
          </c:dPt>
          <c:dPt>
            <c:idx val="812"/>
            <c:spPr>
              <a:solidFill>
                <a:srgbClr val="9D56BA"/>
              </a:solidFill>
            </c:spPr>
          </c:dPt>
          <c:dPt>
            <c:idx val="813"/>
            <c:spPr>
              <a:solidFill>
                <a:srgbClr val="526C89"/>
              </a:solidFill>
            </c:spPr>
          </c:dPt>
          <c:dPt>
            <c:idx val="814"/>
            <c:spPr>
              <a:solidFill>
                <a:srgbClr val="FF8630"/>
              </a:solidFill>
            </c:spPr>
          </c:dPt>
          <c:dPt>
            <c:idx val="815"/>
            <c:spPr>
              <a:solidFill>
                <a:srgbClr val="8B2ECB"/>
              </a:solidFill>
            </c:spPr>
          </c:dPt>
          <c:dPt>
            <c:idx val="816"/>
            <c:spPr>
              <a:solidFill>
                <a:srgbClr val="61F7B5"/>
              </a:solidFill>
            </c:spPr>
          </c:dPt>
          <c:dPt>
            <c:idx val="817"/>
            <c:spPr>
              <a:solidFill>
                <a:srgbClr val="433967"/>
              </a:solidFill>
            </c:spPr>
          </c:dPt>
          <c:dPt>
            <c:idx val="818"/>
            <c:spPr>
              <a:solidFill>
                <a:srgbClr val="9E6A05"/>
              </a:solidFill>
            </c:spPr>
          </c:dPt>
          <c:dPt>
            <c:idx val="819"/>
            <c:spPr>
              <a:solidFill>
                <a:srgbClr val="8E86BD"/>
              </a:solidFill>
            </c:spPr>
          </c:dPt>
          <c:dPt>
            <c:idx val="820"/>
            <c:spPr>
              <a:solidFill>
                <a:srgbClr val="FFB27C"/>
              </a:solidFill>
            </c:spPr>
          </c:dPt>
          <c:dPt>
            <c:idx val="821"/>
            <c:spPr>
              <a:solidFill>
                <a:srgbClr val="C242DC"/>
              </a:solidFill>
            </c:spPr>
          </c:dPt>
          <c:dPt>
            <c:idx val="822"/>
            <c:spPr>
              <a:solidFill>
                <a:srgbClr val="9A1BB8"/>
              </a:solidFill>
            </c:spPr>
          </c:dPt>
          <c:dPt>
            <c:idx val="823"/>
            <c:spPr>
              <a:solidFill>
                <a:srgbClr val="4972A3"/>
              </a:solidFill>
            </c:spPr>
          </c:dPt>
          <c:dPt>
            <c:idx val="824"/>
            <c:spPr>
              <a:solidFill>
                <a:srgbClr val="9F7E50"/>
              </a:solidFill>
            </c:spPr>
          </c:dPt>
          <c:dPt>
            <c:idx val="825"/>
            <c:spPr>
              <a:solidFill>
                <a:srgbClr val="CBA0F0"/>
              </a:solidFill>
            </c:spPr>
          </c:dPt>
          <c:dPt>
            <c:idx val="826"/>
            <c:spPr>
              <a:solidFill>
                <a:srgbClr val="FFDEC8"/>
              </a:solidFill>
            </c:spPr>
          </c:dPt>
          <c:dPt>
            <c:idx val="827"/>
            <c:spPr>
              <a:solidFill>
                <a:srgbClr val="F956ED"/>
              </a:solidFill>
            </c:spPr>
          </c:dPt>
          <c:dPt>
            <c:idx val="828"/>
            <c:spPr>
              <a:solidFill>
                <a:srgbClr val="D340BB"/>
              </a:solidFill>
            </c:spPr>
          </c:dPt>
          <c:dPt>
            <c:idx val="829"/>
            <c:spPr>
              <a:solidFill>
                <a:srgbClr val="4FAAE0"/>
              </a:solidFill>
            </c:spPr>
          </c:dPt>
          <c:dPt>
            <c:idx val="830"/>
            <c:spPr>
              <a:solidFill>
                <a:srgbClr val="A1929B"/>
              </a:solidFill>
            </c:spPr>
          </c:dPt>
          <c:dPt>
            <c:idx val="831"/>
            <c:spPr>
              <a:solidFill>
                <a:srgbClr val="08BA24"/>
              </a:solidFill>
            </c:spPr>
          </c:dPt>
          <c:dPt>
            <c:idx val="832"/>
            <c:spPr>
              <a:solidFill>
                <a:srgbClr val="FF0915"/>
              </a:solidFill>
            </c:spPr>
          </c:dPt>
          <c:dPt>
            <c:idx val="833"/>
            <c:spPr>
              <a:solidFill>
                <a:srgbClr val="3169FE"/>
              </a:solidFill>
            </c:spPr>
          </c:dPt>
          <c:dPt>
            <c:idx val="834"/>
            <c:spPr>
              <a:solidFill>
                <a:srgbClr val="0B64BF"/>
              </a:solidFill>
            </c:spPr>
          </c:dPt>
          <c:dPt>
            <c:idx val="835"/>
            <c:spPr>
              <a:solidFill>
                <a:srgbClr val="56E31C"/>
              </a:solidFill>
            </c:spPr>
          </c:dPt>
          <c:dPt>
            <c:idx val="836"/>
            <c:spPr>
              <a:solidFill>
                <a:srgbClr val="A2A6E7"/>
              </a:solidFill>
            </c:spPr>
          </c:dPt>
          <c:dPt>
            <c:idx val="837"/>
            <c:spPr>
              <a:solidFill>
                <a:srgbClr val="45D457"/>
              </a:solidFill>
            </c:spPr>
          </c:dPt>
          <c:dPt>
            <c:idx val="838"/>
            <c:spPr>
              <a:solidFill>
                <a:srgbClr val="FF3561"/>
              </a:solidFill>
            </c:spPr>
          </c:dPt>
          <c:dPt>
            <c:idx val="839"/>
            <c:spPr>
              <a:solidFill>
                <a:srgbClr val="697D0F"/>
              </a:solidFill>
            </c:spPr>
          </c:dPt>
          <c:dPt>
            <c:idx val="840"/>
            <c:spPr>
              <a:solidFill>
                <a:srgbClr val="4489C2"/>
              </a:solidFill>
            </c:spPr>
          </c:dPt>
          <c:dPt>
            <c:idx val="841"/>
            <c:spPr>
              <a:solidFill>
                <a:srgbClr val="5C1B59"/>
              </a:solidFill>
            </c:spPr>
          </c:dPt>
          <c:dPt>
            <c:idx val="842"/>
            <c:spPr>
              <a:solidFill>
                <a:srgbClr val="A3BA32"/>
              </a:solidFill>
            </c:spPr>
          </c:dPt>
          <c:dPt>
            <c:idx val="843"/>
            <c:spPr>
              <a:solidFill>
                <a:srgbClr val="82EE8B"/>
              </a:solidFill>
            </c:spPr>
          </c:dPt>
          <c:dPt>
            <c:idx val="844"/>
            <c:spPr>
              <a:solidFill>
                <a:srgbClr val="FF61AD"/>
              </a:solidFill>
            </c:spPr>
          </c:dPt>
          <c:dPt>
            <c:idx val="845"/>
            <c:spPr>
              <a:solidFill>
                <a:srgbClr val="A09120"/>
              </a:solidFill>
            </c:spPr>
          </c:dPt>
          <c:dPt>
            <c:idx val="846"/>
            <c:spPr>
              <a:solidFill>
                <a:srgbClr val="7DAEC5"/>
              </a:solidFill>
            </c:spPr>
          </c:dPt>
          <c:dPt>
            <c:idx val="847"/>
            <c:spPr>
              <a:solidFill>
                <a:srgbClr val="625396"/>
              </a:solidFill>
            </c:spPr>
          </c:dPt>
          <c:dPt>
            <c:idx val="848"/>
            <c:spPr>
              <a:solidFill>
                <a:srgbClr val="A4CE7D"/>
              </a:solidFill>
            </c:spPr>
          </c:dPt>
          <c:dPt>
            <c:idx val="849"/>
            <c:spPr>
              <a:solidFill>
                <a:srgbClr val="BF08BF"/>
              </a:solidFill>
            </c:spPr>
          </c:dPt>
          <c:dPt>
            <c:idx val="850"/>
            <c:spPr>
              <a:solidFill>
                <a:srgbClr val="FF8DF9"/>
              </a:solidFill>
            </c:spPr>
          </c:dPt>
          <c:dPt>
            <c:idx val="851"/>
            <c:spPr>
              <a:solidFill>
                <a:srgbClr val="D8A531"/>
              </a:solidFill>
            </c:spPr>
          </c:dPt>
          <c:dPt>
            <c:idx val="852"/>
            <c:spPr>
              <a:solidFill>
                <a:srgbClr val="B5D2C9"/>
              </a:solidFill>
            </c:spPr>
          </c:dPt>
          <c:dPt>
            <c:idx val="853"/>
            <c:spPr>
              <a:solidFill>
                <a:srgbClr val="698CD2"/>
              </a:solidFill>
            </c:spPr>
          </c:dPt>
          <c:dPt>
            <c:idx val="854"/>
            <c:spPr>
              <a:solidFill>
                <a:srgbClr val="A5E2C9"/>
              </a:solidFill>
            </c:spPr>
          </c:dPt>
          <c:dPt>
            <c:idx val="855"/>
            <c:spPr>
              <a:solidFill>
                <a:srgbClr val="FC22F2"/>
              </a:solidFill>
            </c:spPr>
          </c:dPt>
          <c:dPt>
            <c:idx val="856"/>
            <c:spPr>
              <a:solidFill>
                <a:srgbClr val="FFB945"/>
              </a:solidFill>
            </c:spPr>
          </c:dPt>
          <c:dPt>
            <c:idx val="857"/>
            <c:spPr>
              <a:solidFill>
                <a:srgbClr val="0FB942"/>
              </a:solidFill>
            </c:spPr>
          </c:dPt>
          <c:dPt>
            <c:idx val="858"/>
            <c:spPr>
              <a:solidFill>
                <a:srgbClr val="EEF7CC"/>
              </a:solidFill>
            </c:spPr>
          </c:dPt>
          <c:dPt>
            <c:idx val="859"/>
            <c:spPr>
              <a:solidFill>
                <a:srgbClr val="6FC40F"/>
              </a:solidFill>
            </c:spPr>
          </c:dPt>
          <c:dPt>
            <c:idx val="860"/>
            <c:spPr>
              <a:solidFill>
                <a:srgbClr val="A7F614"/>
              </a:solidFill>
            </c:spPr>
          </c:dPt>
          <c:dPt>
            <c:idx val="861"/>
            <c:spPr>
              <a:solidFill>
                <a:srgbClr val="393C26"/>
              </a:solidFill>
            </c:spPr>
          </c:dPt>
          <c:dPt>
            <c:idx val="862"/>
            <c:spPr>
              <a:solidFill>
                <a:srgbClr val="FFE492"/>
              </a:solidFill>
            </c:spPr>
          </c:dPt>
          <c:dPt>
            <c:idx val="863"/>
            <c:spPr>
              <a:solidFill>
                <a:srgbClr val="47CC53"/>
              </a:solidFill>
            </c:spPr>
          </c:dPt>
          <c:dPt>
            <c:idx val="864"/>
            <c:spPr>
              <a:solidFill>
                <a:srgbClr val="271BCF"/>
              </a:solidFill>
            </c:spPr>
          </c:dPt>
          <c:dPt>
            <c:idx val="865"/>
            <c:spPr>
              <a:solidFill>
                <a:srgbClr val="75FD4B"/>
              </a:solidFill>
            </c:spPr>
          </c:dPt>
          <c:dPt>
            <c:idx val="866"/>
            <c:spPr>
              <a:solidFill>
                <a:srgbClr val="A80A5F"/>
              </a:solidFill>
            </c:spPr>
          </c:dPt>
          <c:dPt>
            <c:idx val="867"/>
            <c:spPr>
              <a:solidFill>
                <a:srgbClr val="765659"/>
              </a:solidFill>
            </c:spPr>
          </c:dPt>
          <c:dPt>
            <c:idx val="868"/>
            <c:spPr>
              <a:solidFill>
                <a:srgbClr val="FF10DE"/>
              </a:solidFill>
            </c:spPr>
          </c:dPt>
          <c:dPt>
            <c:idx val="869"/>
            <c:spPr>
              <a:solidFill>
                <a:srgbClr val="7EE064"/>
              </a:solidFill>
            </c:spPr>
          </c:dPt>
          <c:dPt>
            <c:idx val="870"/>
            <c:spPr>
              <a:solidFill>
                <a:srgbClr val="6040D3"/>
              </a:solidFill>
            </c:spPr>
          </c:dPt>
          <c:dPt>
            <c:idx val="871"/>
            <c:spPr>
              <a:solidFill>
                <a:srgbClr val="7C3588"/>
              </a:solidFill>
            </c:spPr>
          </c:dPt>
          <c:dPt>
            <c:idx val="872"/>
            <c:spPr>
              <a:solidFill>
                <a:srgbClr val="A91FAB"/>
              </a:solidFill>
            </c:spPr>
          </c:dPt>
          <c:dPt>
            <c:idx val="873"/>
            <c:spPr>
              <a:solidFill>
                <a:srgbClr val="B3718D"/>
              </a:solidFill>
            </c:spPr>
          </c:dPt>
          <c:dPt>
            <c:idx val="874"/>
            <c:spPr>
              <a:solidFill>
                <a:srgbClr val="FF3C2A"/>
              </a:solidFill>
            </c:spPr>
          </c:dPt>
          <c:dPt>
            <c:idx val="875"/>
            <c:spPr>
              <a:solidFill>
                <a:srgbClr val="B6F476"/>
              </a:solidFill>
            </c:spPr>
          </c:dPt>
          <c:dPt>
            <c:idx val="876"/>
            <c:spPr>
              <a:solidFill>
                <a:srgbClr val="9865D6"/>
              </a:solidFill>
            </c:spPr>
          </c:dPt>
          <c:dPt>
            <c:idx val="877"/>
            <c:spPr>
              <a:solidFill>
                <a:srgbClr val="826DC5"/>
              </a:solidFill>
            </c:spPr>
          </c:dPt>
          <c:dPt>
            <c:idx val="878"/>
            <c:spPr>
              <a:solidFill>
                <a:srgbClr val="AA33F6"/>
              </a:solidFill>
            </c:spPr>
          </c:dPt>
          <c:dPt>
            <c:idx val="879"/>
            <c:spPr>
              <a:solidFill>
                <a:srgbClr val="EF8BC1"/>
              </a:solidFill>
            </c:spPr>
          </c:dPt>
          <c:dPt>
            <c:idx val="880"/>
            <c:spPr>
              <a:solidFill>
                <a:srgbClr val="FF6876"/>
              </a:solidFill>
            </c:spPr>
          </c:dPt>
          <c:dPt>
            <c:idx val="881"/>
            <c:spPr>
              <a:solidFill>
                <a:srgbClr val="ED0887"/>
              </a:solidFill>
            </c:spPr>
          </c:dPt>
          <c:dPt>
            <c:idx val="882"/>
            <c:spPr>
              <a:solidFill>
                <a:srgbClr val="D189D9"/>
              </a:solidFill>
            </c:spPr>
          </c:dPt>
          <c:dPt>
            <c:idx val="883"/>
            <c:spPr>
              <a:solidFill>
                <a:srgbClr val="88A601"/>
              </a:solidFill>
            </c:spPr>
          </c:dPt>
          <c:dPt>
            <c:idx val="884"/>
            <c:spPr>
              <a:solidFill>
                <a:srgbClr val="AB4741"/>
              </a:solidFill>
            </c:spPr>
          </c:dPt>
          <c:dPt>
            <c:idx val="885"/>
            <c:spPr>
              <a:solidFill>
                <a:srgbClr val="2CA5F4"/>
              </a:solidFill>
            </c:spPr>
          </c:dPt>
          <c:dPt>
            <c:idx val="886"/>
            <c:spPr>
              <a:solidFill>
                <a:srgbClr val="FF94C2"/>
              </a:solidFill>
            </c:spPr>
          </c:dPt>
          <c:dPt>
            <c:idx val="887"/>
            <c:spPr>
              <a:solidFill>
                <a:srgbClr val="251C98"/>
              </a:solidFill>
            </c:spPr>
          </c:dPt>
          <c:dPt>
            <c:idx val="888"/>
            <c:spPr>
              <a:solidFill>
                <a:srgbClr val="0AAEDC"/>
              </a:solidFill>
            </c:spPr>
          </c:dPt>
          <c:dPt>
            <c:idx val="889"/>
            <c:spPr>
              <a:solidFill>
                <a:srgbClr val="8EDE3E"/>
              </a:solidFill>
            </c:spPr>
          </c:dPt>
          <c:dPt>
            <c:idx val="890"/>
            <c:spPr>
              <a:solidFill>
                <a:srgbClr val="AD5B8C"/>
              </a:solidFill>
            </c:spPr>
          </c:dPt>
          <c:dPt>
            <c:idx val="891"/>
            <c:spPr>
              <a:solidFill>
                <a:srgbClr val="69BF28"/>
              </a:solidFill>
            </c:spPr>
          </c:dPt>
          <c:dPt>
            <c:idx val="892"/>
            <c:spPr>
              <a:solidFill>
                <a:srgbClr val="FFBF0F"/>
              </a:solidFill>
            </c:spPr>
          </c:dPt>
          <c:dPt>
            <c:idx val="893"/>
            <c:spPr>
              <a:solidFill>
                <a:srgbClr val="5C2FA9"/>
              </a:solidFill>
            </c:spPr>
          </c:dPt>
          <c:dPt>
            <c:idx val="894"/>
            <c:spPr>
              <a:solidFill>
                <a:srgbClr val="42D2E0"/>
              </a:solidFill>
            </c:spPr>
          </c:dPt>
          <c:dPt>
            <c:idx val="895"/>
            <c:spPr>
              <a:solidFill>
                <a:srgbClr val="95177A"/>
              </a:solidFill>
            </c:spPr>
          </c:dPt>
          <c:dPt>
            <c:idx val="896"/>
            <c:spPr>
              <a:solidFill>
                <a:srgbClr val="AE6FD8"/>
              </a:solidFill>
            </c:spPr>
          </c:dPt>
          <c:dPt>
            <c:idx val="897"/>
            <c:spPr>
              <a:solidFill>
                <a:srgbClr val="A6D95B"/>
              </a:solidFill>
            </c:spPr>
          </c:dPt>
          <c:dPt>
            <c:idx val="898"/>
            <c:spPr>
              <a:solidFill>
                <a:srgbClr val="FFEB5B"/>
              </a:solidFill>
            </c:spPr>
          </c:dPt>
          <c:dPt>
            <c:idx val="899"/>
            <c:spPr>
              <a:solidFill>
                <a:srgbClr val="9443BA"/>
              </a:solidFill>
            </c:spPr>
          </c:dPt>
          <c:dPt>
            <c:idx val="900"/>
            <c:spPr>
              <a:solidFill>
                <a:srgbClr val="7BF7E3"/>
              </a:solidFill>
            </c:spPr>
          </c:dPt>
          <c:dPt>
            <c:idx val="901"/>
            <c:spPr>
              <a:solidFill>
                <a:srgbClr val="9B4FB7"/>
              </a:solidFill>
            </c:spPr>
          </c:dPt>
          <c:dPt>
            <c:idx val="902"/>
            <c:spPr>
              <a:solidFill>
                <a:srgbClr val="AF8323"/>
              </a:solidFill>
            </c:spPr>
          </c:dPt>
          <c:dPt>
            <c:idx val="903"/>
            <c:spPr>
              <a:solidFill>
                <a:srgbClr val="E3F38F"/>
              </a:solidFill>
            </c:spPr>
          </c:dPt>
          <c:dPt>
            <c:idx val="904"/>
            <c:spPr>
              <a:solidFill>
                <a:srgbClr val="FF17A7"/>
              </a:solidFill>
            </c:spPr>
          </c:dPt>
          <c:dPt>
            <c:idx val="905"/>
            <c:spPr>
              <a:solidFill>
                <a:srgbClr val="CB57CB"/>
              </a:solidFill>
            </c:spPr>
          </c:dPt>
          <c:dPt>
            <c:idx val="906"/>
            <c:spPr>
              <a:solidFill>
                <a:srgbClr val="B41CE6"/>
              </a:solidFill>
            </c:spPr>
          </c:dPt>
          <c:dPt>
            <c:idx val="907"/>
            <c:spPr>
              <a:solidFill>
                <a:srgbClr val="A187F4"/>
              </a:solidFill>
            </c:spPr>
          </c:dPt>
          <c:dPt>
            <c:idx val="908"/>
            <c:spPr>
              <a:solidFill>
                <a:srgbClr val="B0976E"/>
              </a:solidFill>
            </c:spPr>
          </c:dPt>
          <c:dPt>
            <c:idx val="909"/>
            <c:spPr>
              <a:solidFill>
                <a:srgbClr val="200DC3"/>
              </a:solidFill>
            </c:spPr>
          </c:dPt>
          <c:dPt>
            <c:idx val="910"/>
            <c:spPr>
              <a:solidFill>
                <a:srgbClr val="FF43F3"/>
              </a:solidFill>
            </c:spPr>
          </c:dPt>
          <c:dPt>
            <c:idx val="911"/>
            <c:spPr>
              <a:solidFill>
                <a:srgbClr val="036BDC"/>
              </a:solidFill>
            </c:spPr>
          </c:dPt>
          <c:dPt>
            <c:idx val="912"/>
            <c:spPr>
              <a:solidFill>
                <a:srgbClr val="EC40EA"/>
              </a:solidFill>
            </c:spPr>
          </c:dPt>
          <c:dPt>
            <c:idx val="913"/>
            <c:spPr>
              <a:solidFill>
                <a:srgbClr val="A8C030"/>
              </a:solidFill>
            </c:spPr>
          </c:dPt>
          <c:dPt>
            <c:idx val="914"/>
            <c:spPr>
              <a:solidFill>
                <a:srgbClr val="B1ABBA"/>
              </a:solidFill>
            </c:spPr>
          </c:dPt>
          <c:dPt>
            <c:idx val="915"/>
            <c:spPr>
              <a:solidFill>
                <a:srgbClr val="5D27F6"/>
              </a:solidFill>
            </c:spPr>
          </c:dPt>
          <c:dPt>
            <c:idx val="916"/>
            <c:spPr>
              <a:solidFill>
                <a:srgbClr val="FF6F3F"/>
              </a:solidFill>
            </c:spPr>
          </c:dPt>
          <c:dPt>
            <c:idx val="917"/>
            <c:spPr>
              <a:solidFill>
                <a:srgbClr val="3A7FED"/>
              </a:solidFill>
            </c:spPr>
          </c:dPt>
          <c:dPt>
            <c:idx val="918"/>
            <c:spPr>
              <a:solidFill>
                <a:srgbClr val="2565ED"/>
              </a:solidFill>
            </c:spPr>
          </c:dPt>
          <c:dPt>
            <c:idx val="919"/>
            <c:spPr>
              <a:solidFill>
                <a:srgbClr val="AEF86D"/>
              </a:solidFill>
            </c:spPr>
          </c:dPt>
          <c:dPt>
            <c:idx val="920"/>
            <c:spPr>
              <a:solidFill>
                <a:srgbClr val="B3BF05"/>
              </a:solidFill>
            </c:spPr>
          </c:dPt>
          <c:dPt>
            <c:idx val="921"/>
            <c:spPr>
              <a:solidFill>
                <a:srgbClr val="9A412A"/>
              </a:solidFill>
            </c:spPr>
          </c:dPt>
          <c:dPt>
            <c:idx val="922"/>
            <c:spPr>
              <a:solidFill>
                <a:srgbClr val="FF9A8C"/>
              </a:solidFill>
            </c:spPr>
          </c:dPt>
          <c:dPt>
            <c:idx val="923"/>
            <c:spPr>
              <a:solidFill>
                <a:srgbClr val="7292FE"/>
              </a:solidFill>
            </c:spPr>
          </c:dPt>
          <c:dPt>
            <c:idx val="924"/>
            <c:spPr>
              <a:solidFill>
                <a:srgbClr val="5E89F0"/>
              </a:solidFill>
            </c:spPr>
          </c:dPt>
          <c:dPt>
            <c:idx val="925"/>
            <c:spPr>
              <a:solidFill>
                <a:srgbClr val="B431A9"/>
              </a:solidFill>
            </c:spPr>
          </c:dPt>
          <c:dPt>
            <c:idx val="926"/>
            <c:spPr>
              <a:solidFill>
                <a:srgbClr val="B4D350"/>
              </a:solidFill>
            </c:spPr>
          </c:dPt>
          <c:dPt>
            <c:idx val="927"/>
            <c:spPr>
              <a:solidFill>
                <a:srgbClr val="D75B5D"/>
              </a:solidFill>
            </c:spPr>
          </c:dPt>
          <c:dPt>
            <c:idx val="928"/>
            <c:spPr>
              <a:solidFill>
                <a:srgbClr val="FFC6D8"/>
              </a:solidFill>
            </c:spPr>
          </c:dPt>
          <c:dPt>
            <c:idx val="929"/>
            <c:spPr>
              <a:solidFill>
                <a:srgbClr val="A9A60F"/>
              </a:solidFill>
            </c:spPr>
          </c:dPt>
          <c:dPt>
            <c:idx val="930"/>
            <c:spPr>
              <a:solidFill>
                <a:srgbClr val="97AEF4"/>
              </a:solidFill>
            </c:spPr>
          </c:dPt>
          <c:dPt>
            <c:idx val="931"/>
            <c:spPr>
              <a:solidFill>
                <a:srgbClr val="BB69E6"/>
              </a:solidFill>
            </c:spPr>
          </c:dPt>
          <c:dPt>
            <c:idx val="932"/>
            <c:spPr>
              <a:solidFill>
                <a:srgbClr val="B5E89C"/>
              </a:solidFill>
            </c:spPr>
          </c:dPt>
          <c:dPt>
            <c:idx val="933"/>
            <c:spPr>
              <a:solidFill>
                <a:srgbClr val="147691"/>
              </a:solidFill>
            </c:spPr>
          </c:dPt>
          <c:dPt>
            <c:idx val="934"/>
            <c:spPr>
              <a:solidFill>
                <a:srgbClr val="FFF224"/>
              </a:solidFill>
            </c:spPr>
          </c:dPt>
          <c:dPt>
            <c:idx val="935"/>
            <c:spPr>
              <a:solidFill>
                <a:srgbClr val="E1BA21"/>
              </a:solidFill>
            </c:spPr>
          </c:dPt>
          <c:dPt>
            <c:idx val="936"/>
            <c:spPr>
              <a:solidFill>
                <a:srgbClr val="CFD3F7"/>
              </a:solidFill>
            </c:spPr>
          </c:dPt>
          <c:dPt>
            <c:idx val="937"/>
            <c:spPr>
              <a:solidFill>
                <a:srgbClr val="C1A123"/>
              </a:solidFill>
            </c:spPr>
          </c:dPt>
          <c:dPt>
            <c:idx val="938"/>
            <c:spPr>
              <a:solidFill>
                <a:srgbClr val="B6FCE7"/>
              </a:solidFill>
            </c:spPr>
          </c:dPt>
          <c:dPt>
            <c:idx val="939"/>
            <c:spPr>
              <a:solidFill>
                <a:srgbClr val="5090C5"/>
              </a:solidFill>
            </c:spPr>
          </c:dPt>
          <c:dPt>
            <c:idx val="940"/>
            <c:spPr>
              <a:solidFill>
                <a:srgbClr val="FF1E70"/>
              </a:solidFill>
            </c:spPr>
          </c:dPt>
          <c:dPt>
            <c:idx val="941"/>
            <c:spPr>
              <a:solidFill>
                <a:srgbClr val="18CE32"/>
              </a:solidFill>
            </c:spPr>
          </c:dPt>
          <c:dPt>
            <c:idx val="942"/>
            <c:spPr>
              <a:solidFill>
                <a:srgbClr val="08F7FA"/>
              </a:solidFill>
            </c:spPr>
          </c:dPt>
          <c:dPt>
            <c:idx val="943"/>
            <c:spPr>
              <a:solidFill>
                <a:srgbClr val="C7DA5F"/>
              </a:solidFill>
            </c:spPr>
          </c:dPt>
          <c:dPt>
            <c:idx val="944"/>
            <c:spPr>
              <a:solidFill>
                <a:srgbClr val="B71032"/>
              </a:solidFill>
            </c:spPr>
          </c:dPt>
          <c:dPt>
            <c:idx val="945"/>
            <c:spPr>
              <a:solidFill>
                <a:srgbClr val="8DAAF8"/>
              </a:solidFill>
            </c:spPr>
          </c:dPt>
          <c:dPt>
            <c:idx val="946"/>
            <c:spPr>
              <a:solidFill>
                <a:srgbClr val="FF4ABC"/>
              </a:solidFill>
            </c:spPr>
          </c:dPt>
          <c:dPt>
            <c:idx val="947"/>
            <c:spPr>
              <a:solidFill>
                <a:srgbClr val="50E243"/>
              </a:solidFill>
            </c:spPr>
          </c:dPt>
          <c:dPt>
            <c:idx val="948"/>
            <c:spPr>
              <a:solidFill>
                <a:srgbClr val="411CFD"/>
              </a:solidFill>
            </c:spPr>
          </c:dPt>
          <c:dPt>
            <c:idx val="949"/>
            <c:spPr>
              <a:solidFill>
                <a:srgbClr val="CD129C"/>
              </a:solidFill>
            </c:spPr>
          </c:dPt>
          <c:dPt>
            <c:idx val="950"/>
            <c:spPr>
              <a:solidFill>
                <a:srgbClr val="B9247D"/>
              </a:solidFill>
            </c:spPr>
          </c:dPt>
          <c:dPt>
            <c:idx val="951"/>
            <c:spPr>
              <a:solidFill>
                <a:srgbClr val="CAC42C"/>
              </a:solidFill>
            </c:spPr>
          </c:dPt>
          <c:dPt>
            <c:idx val="952"/>
            <c:spPr>
              <a:solidFill>
                <a:srgbClr val="FF7509"/>
              </a:solidFill>
            </c:spPr>
          </c:dPt>
          <c:dPt>
            <c:idx val="953"/>
            <c:spPr>
              <a:solidFill>
                <a:srgbClr val="87F554"/>
              </a:solidFill>
            </c:spPr>
          </c:dPt>
          <c:dPt>
            <c:idx val="954"/>
            <c:spPr>
              <a:solidFill>
                <a:srgbClr val="794001"/>
              </a:solidFill>
            </c:spPr>
          </c:dPt>
          <c:dPt>
            <c:idx val="955"/>
            <c:spPr>
              <a:solidFill>
                <a:srgbClr val="D44BD8"/>
              </a:solidFill>
            </c:spPr>
          </c:dPt>
          <c:dPt>
            <c:idx val="956"/>
            <c:spPr>
              <a:solidFill>
                <a:srgbClr val="BA38C9"/>
              </a:solidFill>
            </c:spPr>
          </c:dPt>
          <c:dPt>
            <c:idx val="957"/>
            <c:spPr>
              <a:solidFill>
                <a:srgbClr val="07DE5F"/>
              </a:solidFill>
            </c:spPr>
          </c:dPt>
          <c:dPt>
            <c:idx val="958"/>
            <c:spPr>
              <a:solidFill>
                <a:srgbClr val="FFA155"/>
              </a:solidFill>
            </c:spPr>
          </c:dPt>
          <c:dPt>
            <c:idx val="959"/>
            <c:spPr>
              <a:solidFill>
                <a:srgbClr val="BF0965"/>
              </a:solidFill>
            </c:spPr>
          </c:dPt>
          <c:dPt>
            <c:idx val="960"/>
            <c:spPr>
              <a:solidFill>
                <a:srgbClr val="B26504"/>
              </a:solidFill>
            </c:spPr>
          </c:dPt>
          <c:dPt>
            <c:idx val="961"/>
            <c:spPr>
              <a:solidFill>
                <a:srgbClr val="DA8315"/>
              </a:solidFill>
            </c:spPr>
          </c:dPt>
          <c:dPt>
            <c:idx val="962"/>
            <c:spPr>
              <a:solidFill>
                <a:srgbClr val="BB4C14"/>
              </a:solidFill>
            </c:spPr>
          </c:dPt>
          <c:dPt>
            <c:idx val="963"/>
            <c:spPr>
              <a:solidFill>
                <a:srgbClr val="44F893"/>
              </a:solidFill>
            </c:spPr>
          </c:dPt>
          <c:dPt>
            <c:idx val="964"/>
            <c:spPr>
              <a:solidFill>
                <a:srgbClr val="FFCDA1"/>
              </a:solidFill>
            </c:spPr>
          </c:dPt>
          <c:dPt>
            <c:idx val="965"/>
            <c:spPr>
              <a:solidFill>
                <a:srgbClr val="F61D76"/>
              </a:solidFill>
            </c:spPr>
          </c:dPt>
          <c:dPt>
            <c:idx val="966"/>
            <c:spPr>
              <a:solidFill>
                <a:srgbClr val="EB8A07"/>
              </a:solidFill>
            </c:spPr>
          </c:dPt>
          <c:dPt>
            <c:idx val="967"/>
            <c:spPr>
              <a:solidFill>
                <a:srgbClr val="E0BB52"/>
              </a:solidFill>
            </c:spPr>
          </c:dPt>
          <c:dPt>
            <c:idx val="968"/>
            <c:spPr>
              <a:solidFill>
                <a:srgbClr val="BC605F"/>
              </a:solidFill>
            </c:spPr>
          </c:dPt>
          <c:dPt>
            <c:idx val="969"/>
            <c:spPr>
              <a:solidFill>
                <a:srgbClr val="8112C7"/>
              </a:solidFill>
            </c:spPr>
          </c:dPt>
          <c:dPt>
            <c:idx val="970"/>
            <c:spPr>
              <a:solidFill>
                <a:srgbClr val="FFF9ED"/>
              </a:solidFill>
            </c:spPr>
          </c:dPt>
          <c:dPt>
            <c:idx val="971"/>
            <c:spPr>
              <a:solidFill>
                <a:srgbClr val="2E3187"/>
              </a:solidFill>
            </c:spPr>
          </c:dPt>
          <c:dPt>
            <c:idx val="972"/>
            <c:spPr>
              <a:solidFill>
                <a:srgbClr val="23AE0B"/>
              </a:solidFill>
            </c:spPr>
          </c:dPt>
          <c:dPt>
            <c:idx val="973"/>
            <c:spPr>
              <a:solidFill>
                <a:srgbClr val="E7F48E"/>
              </a:solidFill>
            </c:spPr>
          </c:dPt>
          <c:dPt>
            <c:idx val="974"/>
            <c:spPr>
              <a:solidFill>
                <a:srgbClr val="BD74AB"/>
              </a:solidFill>
            </c:spPr>
          </c:dPt>
          <c:dPt>
            <c:idx val="975"/>
            <c:spPr>
              <a:solidFill>
                <a:srgbClr val="BE2CFA"/>
              </a:solidFill>
            </c:spPr>
          </c:dPt>
          <c:dPt>
            <c:idx val="976"/>
            <c:spPr>
              <a:solidFill>
                <a:srgbClr val="FF2539"/>
              </a:solidFill>
            </c:spPr>
          </c:dPt>
          <c:dPt>
            <c:idx val="977"/>
            <c:spPr>
              <a:solidFill>
                <a:srgbClr val="654598"/>
              </a:solidFill>
            </c:spPr>
          </c:dPt>
          <c:dPt>
            <c:idx val="978"/>
            <c:spPr>
              <a:solidFill>
                <a:srgbClr val="5CD30E"/>
              </a:solidFill>
            </c:spPr>
          </c:dPt>
          <c:dPt>
            <c:idx val="979"/>
            <c:spPr>
              <a:solidFill>
                <a:srgbClr val="ED2CCB"/>
              </a:solidFill>
            </c:spPr>
          </c:dPt>
          <c:dPt>
            <c:idx val="980"/>
            <c:spPr>
              <a:solidFill>
                <a:srgbClr val="BF88F6"/>
              </a:solidFill>
            </c:spPr>
          </c:dPt>
          <c:dPt>
            <c:idx val="981"/>
            <c:spPr>
              <a:solidFill>
                <a:srgbClr val="FB462E"/>
              </a:solidFill>
            </c:spPr>
          </c:dPt>
          <c:dPt>
            <c:idx val="982"/>
            <c:spPr>
              <a:solidFill>
                <a:srgbClr val="FF5086"/>
              </a:solidFill>
            </c:spPr>
          </c:dPt>
          <c:dPt>
            <c:idx val="983"/>
            <c:spPr>
              <a:solidFill>
                <a:srgbClr val="9D58A9"/>
              </a:solidFill>
            </c:spPr>
          </c:dPt>
          <c:dPt>
            <c:idx val="984"/>
            <c:spPr>
              <a:solidFill>
                <a:srgbClr val="95F711"/>
              </a:solidFill>
            </c:spPr>
          </c:dPt>
          <c:dPt>
            <c:idx val="985"/>
            <c:spPr>
              <a:solidFill>
                <a:srgbClr val="F36507"/>
              </a:solidFill>
            </c:spPr>
          </c:dPt>
          <c:dPt>
            <c:idx val="986"/>
            <c:spPr>
              <a:solidFill>
                <a:srgbClr val="C09C41"/>
              </a:solidFill>
            </c:spPr>
          </c:dPt>
          <c:dPt>
            <c:idx val="987"/>
            <c:spPr>
              <a:solidFill>
                <a:srgbClr val="386061"/>
              </a:solidFill>
            </c:spPr>
          </c:dPt>
          <c:dPt>
            <c:idx val="988"/>
            <c:spPr>
              <a:solidFill>
                <a:srgbClr val="FF7CD2"/>
              </a:solidFill>
            </c:spPr>
          </c:dPt>
          <c:dPt>
            <c:idx val="989"/>
            <c:spPr>
              <a:solidFill>
                <a:srgbClr val="D46CBA"/>
              </a:solidFill>
            </c:spPr>
          </c:dPt>
          <c:dPt>
            <c:idx val="990"/>
            <c:spPr>
              <a:solidFill>
                <a:srgbClr val="CE1C15"/>
              </a:solidFill>
            </c:spPr>
          </c:dPt>
          <c:dPt>
            <c:idx val="991"/>
            <c:spPr>
              <a:solidFill>
                <a:srgbClr val="FA9D44"/>
              </a:solidFill>
            </c:spPr>
          </c:dPt>
          <c:dPt>
            <c:idx val="992"/>
            <c:spPr>
              <a:solidFill>
                <a:srgbClr val="C1B18D"/>
              </a:solidFill>
            </c:spPr>
          </c:dPt>
          <c:dPt>
            <c:idx val="993"/>
            <c:spPr>
              <a:solidFill>
                <a:srgbClr val="757B95"/>
              </a:solidFill>
            </c:spPr>
          </c:dPt>
          <c:dPt>
            <c:idx val="994"/>
            <c:spPr>
              <a:solidFill>
                <a:srgbClr val="FFA81E"/>
              </a:solidFill>
            </c:spPr>
          </c:dPt>
          <c:dPt>
            <c:idx val="995"/>
            <c:spPr>
              <a:solidFill>
                <a:srgbClr val="0C80CC"/>
              </a:solidFill>
            </c:spPr>
          </c:dPt>
          <c:dPt>
            <c:idx val="996"/>
            <c:spPr>
              <a:solidFill>
                <a:srgbClr val="064118"/>
              </a:solidFill>
            </c:spPr>
          </c:dPt>
          <c:dPt>
            <c:idx val="997"/>
            <c:spPr>
              <a:solidFill>
                <a:srgbClr val="00D581"/>
              </a:solidFill>
            </c:spPr>
          </c:dPt>
          <c:dPt>
            <c:idx val="998"/>
            <c:spPr>
              <a:solidFill>
                <a:srgbClr val="C2C5D8"/>
              </a:solidFill>
            </c:spPr>
          </c:dPt>
          <c:dPt>
            <c:idx val="999"/>
            <c:spPr>
              <a:solidFill>
                <a:srgbClr val="B195C9"/>
              </a:solidFill>
            </c:spPr>
          </c:dPt>
          <c:dPt>
            <c:idx val="1000"/>
            <c:spPr>
              <a:solidFill>
                <a:srgbClr val="FFD46A"/>
              </a:solidFill>
            </c:spPr>
          </c:dPt>
          <c:dPt>
            <c:idx val="1001"/>
            <c:spPr>
              <a:solidFill>
                <a:srgbClr val="4394DD"/>
              </a:solidFill>
            </c:spPr>
          </c:dPt>
          <c:dPt>
            <c:idx val="1002"/>
            <c:spPr>
              <a:solidFill>
                <a:srgbClr val="3F651B"/>
              </a:solidFill>
            </c:spPr>
          </c:dPt>
          <c:dPt>
            <c:idx val="1003"/>
            <c:spPr>
              <a:solidFill>
                <a:srgbClr val="060EBD"/>
              </a:solidFill>
            </c:spPr>
          </c:dPt>
          <c:dPt>
            <c:idx val="1004"/>
            <c:spPr>
              <a:solidFill>
                <a:srgbClr val="C3D923"/>
              </a:solidFill>
            </c:spPr>
          </c:dPt>
          <c:dPt>
            <c:idx val="1005"/>
            <c:spPr>
              <a:solidFill>
                <a:srgbClr val="EEAFFC"/>
              </a:solidFill>
            </c:spPr>
          </c:dPt>
          <c:dPt>
            <c:idx val="1006"/>
            <c:spPr>
              <a:solidFill>
                <a:srgbClr val="FF00B6"/>
              </a:solidFill>
            </c:spPr>
          </c:dPt>
          <c:dPt>
            <c:idx val="1007"/>
            <c:spPr>
              <a:solidFill>
                <a:srgbClr val="7BA8EE"/>
              </a:solidFill>
            </c:spPr>
          </c:dPt>
          <c:dPt>
            <c:idx val="1008"/>
            <c:spPr>
              <a:solidFill>
                <a:srgbClr val="788A1E"/>
              </a:solidFill>
            </c:spPr>
          </c:dPt>
          <c:dPt>
            <c:idx val="1009"/>
            <c:spPr>
              <a:solidFill>
                <a:srgbClr val="0C46FA"/>
              </a:solidFill>
            </c:spPr>
          </c:dPt>
          <c:dPt>
            <c:idx val="1010"/>
            <c:spPr>
              <a:solidFill>
                <a:srgbClr val="C5ED6E"/>
              </a:solidFill>
            </c:spPr>
          </c:dPt>
          <c:dPt>
            <c:idx val="1011"/>
            <c:spPr>
              <a:solidFill>
                <a:srgbClr val="2BC930"/>
              </a:solidFill>
            </c:spPr>
          </c:dPt>
          <c:dPt>
            <c:idx val="1012"/>
            <c:spPr>
              <a:solidFill>
                <a:srgbClr val="FF2B03"/>
              </a:solidFill>
            </c:spPr>
          </c:dPt>
          <c:dPt>
            <c:idx val="1013"/>
            <c:spPr>
              <a:solidFill>
                <a:srgbClr val="B2BBFF"/>
              </a:solidFill>
            </c:spPr>
          </c:dPt>
          <c:dPt>
            <c:idx val="1014"/>
            <c:spPr>
              <a:solidFill>
                <a:srgbClr val="B0AE22"/>
              </a:solidFill>
            </c:spPr>
          </c:dPt>
          <c:dPt>
            <c:idx val="1015"/>
            <c:spPr>
              <a:solidFill>
                <a:srgbClr val="137F36"/>
              </a:solidFill>
            </c:spPr>
          </c:dPt>
          <c:dPt>
            <c:idx val="1016"/>
            <c:spPr>
              <a:solidFill>
                <a:srgbClr val="C601BA"/>
              </a:solidFill>
            </c:spPr>
          </c:dPt>
          <c:dPt>
            <c:idx val="1017"/>
            <c:spPr>
              <a:solidFill>
                <a:srgbClr val="68E363"/>
              </a:solidFill>
            </c:spPr>
          </c:dPt>
          <c:dPt>
            <c:idx val="1018"/>
            <c:spPr>
              <a:solidFill>
                <a:srgbClr val="FF574F"/>
              </a:solidFill>
            </c:spPr>
          </c:dPt>
          <c:dPt>
            <c:idx val="1019"/>
            <c:spPr>
              <a:solidFill>
                <a:srgbClr val="EACF10"/>
              </a:solidFill>
            </c:spPr>
          </c:dPt>
          <c:dPt>
            <c:idx val="1020"/>
            <c:spPr>
              <a:solidFill>
                <a:srgbClr val="E9D325"/>
              </a:solidFill>
            </c:spPr>
          </c:dPt>
          <c:dPt>
            <c:idx val="1021"/>
            <c:spPr>
              <a:solidFill>
                <a:srgbClr val="19B773"/>
              </a:solidFill>
            </c:spPr>
          </c:dPt>
          <c:dPt>
            <c:idx val="1022"/>
            <c:spPr>
              <a:solidFill>
                <a:srgbClr val="C71505"/>
              </a:solidFill>
            </c:spPr>
          </c:dPt>
          <c:dPt>
            <c:idx val="1023"/>
            <c:spPr>
              <a:solidFill>
                <a:srgbClr val="A5FD97"/>
              </a:solidFill>
            </c:spPr>
          </c:dPt>
          <c:dPt>
            <c:idx val="1024"/>
            <c:spPr>
              <a:solidFill>
                <a:srgbClr val="FF839B"/>
              </a:solidFill>
            </c:spPr>
          </c:dPt>
          <c:dPt>
            <c:idx val="1025"/>
            <c:spPr>
              <a:solidFill>
                <a:srgbClr val="21E321"/>
              </a:solidFill>
            </c:spPr>
          </c:dPt>
          <c:dPt>
            <c:idx val="1026"/>
            <c:spPr>
              <a:solidFill>
                <a:srgbClr val="22F828"/>
              </a:solidFill>
            </c:spPr>
          </c:dPt>
          <c:dPt>
            <c:idx val="1027"/>
            <c:spPr>
              <a:solidFill>
                <a:srgbClr val="1FEFB0"/>
              </a:solidFill>
            </c:spPr>
          </c:dPt>
          <c:dPt>
            <c:idx val="1028"/>
            <c:spPr>
              <a:solidFill>
                <a:srgbClr val="C82950"/>
              </a:solidFill>
            </c:spPr>
          </c:dPt>
          <c:dPt>
            <c:idx val="1029"/>
            <c:spPr>
              <a:solidFill>
                <a:srgbClr val="E217CB"/>
              </a:solidFill>
            </c:spPr>
          </c:dPt>
          <c:dPt>
            <c:idx val="1030"/>
            <c:spPr>
              <a:solidFill>
                <a:srgbClr val="FFAFE7"/>
              </a:solidFill>
            </c:spPr>
          </c:dPt>
          <c:dPt>
            <c:idx val="1031"/>
            <c:spPr>
              <a:solidFill>
                <a:srgbClr val="59F732"/>
              </a:solidFill>
            </c:spPr>
          </c:dPt>
          <c:dPt>
            <c:idx val="1032"/>
            <c:spPr>
              <a:solidFill>
                <a:srgbClr val="5A1C2C"/>
              </a:solidFill>
            </c:spPr>
          </c:dPt>
          <c:dPt>
            <c:idx val="1033"/>
            <c:spPr>
              <a:solidFill>
                <a:srgbClr val="2628EC"/>
              </a:solidFill>
            </c:spPr>
          </c:dPt>
          <c:dPt>
            <c:idx val="1034"/>
            <c:spPr>
              <a:solidFill>
                <a:srgbClr val="C93D9C"/>
              </a:solidFill>
            </c:spPr>
          </c:dPt>
          <c:dPt>
            <c:idx val="1035"/>
            <c:spPr>
              <a:solidFill>
                <a:srgbClr val="1F31FE"/>
              </a:solidFill>
            </c:spPr>
          </c:dPt>
          <c:dPt>
            <c:idx val="1036"/>
            <c:spPr>
              <a:solidFill>
                <a:srgbClr val="FFDB33"/>
              </a:solidFill>
            </c:spPr>
          </c:dPt>
          <c:dPt>
            <c:idx val="1037"/>
            <c:spPr>
              <a:solidFill>
                <a:srgbClr val="900B43"/>
              </a:solidFill>
            </c:spPr>
          </c:dPt>
          <c:dPt>
            <c:idx val="1038"/>
            <c:spPr>
              <a:solidFill>
                <a:srgbClr val="93412F"/>
              </a:solidFill>
            </c:spPr>
          </c:dPt>
          <c:dPt>
            <c:idx val="1039"/>
            <c:spPr>
              <a:solidFill>
                <a:srgbClr val="2C6029"/>
              </a:solidFill>
            </c:spPr>
          </c:dPt>
          <c:dPt>
            <c:idx val="1040"/>
            <c:spPr>
              <a:solidFill>
                <a:srgbClr val="CB51E7"/>
              </a:solidFill>
            </c:spPr>
          </c:dPt>
          <c:dPt>
            <c:idx val="1041"/>
            <c:spPr>
              <a:solidFill>
                <a:srgbClr val="5C4B32"/>
              </a:solidFill>
            </c:spPr>
          </c:dPt>
          <c:dPt>
            <c:idx val="1042"/>
            <c:spPr>
              <a:solidFill>
                <a:srgbClr val="FF0680"/>
              </a:solidFill>
            </c:spPr>
          </c:dPt>
          <c:dPt>
            <c:idx val="1043"/>
            <c:spPr>
              <a:solidFill>
                <a:srgbClr val="C81E54"/>
              </a:solidFill>
            </c:spPr>
          </c:dPt>
          <c:dPt>
            <c:idx val="1044"/>
            <c:spPr>
              <a:solidFill>
                <a:srgbClr val="CC6532"/>
              </a:solidFill>
            </c:spPr>
          </c:dPt>
          <c:dPt>
            <c:idx val="1045"/>
            <c:spPr>
              <a:solidFill>
                <a:srgbClr val="329965"/>
              </a:solidFill>
            </c:spPr>
          </c:dPt>
          <c:dPt>
            <c:idx val="1046"/>
            <c:spPr>
              <a:solidFill>
                <a:srgbClr val="CC6532"/>
              </a:solidFill>
            </c:spPr>
          </c:dPt>
          <c:dPt>
            <c:idx val="1047"/>
            <c:spPr>
              <a:solidFill>
                <a:srgbClr val="996565"/>
              </a:solidFill>
            </c:spPr>
          </c:dPt>
          <c:dPt>
            <c:idx val="1048"/>
            <c:spPr>
              <a:solidFill>
                <a:srgbClr val="FF32CC"/>
              </a:solidFill>
            </c:spPr>
          </c:dPt>
          <c:dPt>
            <c:idx val="1049"/>
            <c:spPr>
              <a:solidFill>
                <a:srgbClr val="FF3265"/>
              </a:solidFill>
            </c:spPr>
          </c:dPt>
          <c:dPt>
            <c:idx val="1050"/>
            <c:spPr>
              <a:solidFill>
                <a:srgbClr val="058A36"/>
              </a:solidFill>
            </c:spPr>
          </c:dPt>
          <c:dPt>
            <c:idx val="1051"/>
            <c:spPr>
              <a:solidFill>
                <a:srgbClr val="39D1A2"/>
              </a:solidFill>
            </c:spPr>
          </c:dPt>
          <c:dPt>
            <c:idx val="1052"/>
            <c:spPr>
              <a:solidFill>
                <a:srgbClr val="CD7A7E"/>
              </a:solidFill>
            </c:spPr>
          </c:dPt>
          <c:dPt>
            <c:idx val="1053"/>
            <c:spPr>
              <a:solidFill>
                <a:srgbClr val="D68099"/>
              </a:solidFill>
            </c:spPr>
          </c:dPt>
          <c:dPt>
            <c:idx val="1054"/>
            <c:spPr>
              <a:solidFill>
                <a:srgbClr val="FF5E18"/>
              </a:solidFill>
            </c:spPr>
          </c:dPt>
          <c:dPt>
            <c:idx val="1055"/>
            <c:spPr>
              <a:solidFill>
                <a:srgbClr val="374677"/>
              </a:solidFill>
            </c:spPr>
          </c:dPt>
          <c:dPt>
            <c:idx val="1056"/>
            <c:spPr>
              <a:solidFill>
                <a:srgbClr val="3DAF39"/>
              </a:solidFill>
            </c:spPr>
          </c:dPt>
          <c:dPt>
            <c:idx val="1057"/>
            <c:spPr>
              <a:solidFill>
                <a:srgbClr val="3F09DF"/>
              </a:solidFill>
            </c:spPr>
          </c:dPt>
          <c:dPt>
            <c:idx val="1058"/>
            <c:spPr>
              <a:solidFill>
                <a:srgbClr val="CE8EC9"/>
              </a:solidFill>
            </c:spPr>
          </c:dPt>
          <c:dPt>
            <c:idx val="1059"/>
            <c:spPr>
              <a:solidFill>
                <a:srgbClr val="129ACD"/>
              </a:solidFill>
            </c:spPr>
          </c:dPt>
          <c:dPt>
            <c:idx val="1060"/>
            <c:spPr>
              <a:solidFill>
                <a:srgbClr val="FF8A64"/>
              </a:solidFill>
            </c:spPr>
          </c:dPt>
          <c:dPt>
            <c:idx val="1061"/>
            <c:spPr>
              <a:solidFill>
                <a:srgbClr val="6E5A88"/>
              </a:solidFill>
            </c:spPr>
          </c:dPt>
          <c:dPt>
            <c:idx val="1062"/>
            <c:spPr>
              <a:solidFill>
                <a:srgbClr val="76D33C"/>
              </a:solidFill>
            </c:spPr>
          </c:dPt>
          <c:dPt>
            <c:idx val="1063"/>
            <c:spPr>
              <a:solidFill>
                <a:srgbClr val="45421B"/>
              </a:solidFill>
            </c:spPr>
          </c:dPt>
          <c:dPt>
            <c:idx val="1064"/>
            <c:spPr>
              <a:solidFill>
                <a:srgbClr val="CFA214"/>
              </a:solidFill>
            </c:spPr>
          </c:dPt>
          <c:dPt>
            <c:idx val="1065"/>
            <c:spPr>
              <a:solidFill>
                <a:srgbClr val="4FB400"/>
              </a:solidFill>
            </c:spPr>
          </c:dPt>
          <c:dPt>
            <c:idx val="1066"/>
            <c:spPr>
              <a:solidFill>
                <a:srgbClr val="FFB6B0"/>
              </a:solidFill>
            </c:spPr>
          </c:dPt>
          <c:dPt>
            <c:idx val="1067"/>
            <c:spPr>
              <a:solidFill>
                <a:srgbClr val="A66E99"/>
              </a:solidFill>
            </c:spPr>
          </c:dPt>
          <c:dPt>
            <c:idx val="1068"/>
            <c:spPr>
              <a:solidFill>
                <a:srgbClr val="AFF83F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Dashboard!$A$4:$A$1072</c:f>
            </c:strRef>
          </c:cat>
          <c:val>
            <c:numRef>
              <c:f>Dashboard!$B$4:$B$1072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4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</c:chartSpace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200025</xdr:colOff>
      <xdr:row>0</xdr:row>
      <xdr:rowOff>209550</xdr:rowOff>
    </xdr:from>
    <xdr:ext cx="5715000" cy="3810000"/>
    <xdr:graphicFrame>
      <xdr:nvGraphicFramePr>
        <xdr:cNvPr id="1" name="Chart 1" title="رسم بياني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Z1000" displayName="Table_1" name="Table_1" id="1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Goal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:Z1000" displayName="Table_2" name="Table_2" id="2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Recurring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2:Z1000" displayName="Table_3" name="Table_3" id="3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UserDat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2:Z1000" displayName="Table_4" name="Table_4" id="4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Balanc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3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xs4fOvoMXRHRELktLqu28jP2ZAkorKPTFZS1sA3H8_TooeKP1TDhET7-uwvA1jPHLJ/exec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38"/>
    <col customWidth="1" min="2" max="3" width="25.13"/>
    <col customWidth="1" min="4" max="4" width="18.88"/>
  </cols>
  <sheetData>
    <row r="1">
      <c r="A1" s="1" t="s">
        <v>0</v>
      </c>
      <c r="B1" s="2"/>
      <c r="C1" s="2"/>
      <c r="D1" s="3"/>
    </row>
    <row r="2">
      <c r="A2" s="4"/>
      <c r="B2" s="4"/>
      <c r="C2" s="4"/>
      <c r="D2" s="4"/>
    </row>
    <row r="3">
      <c r="A3" s="5" t="s">
        <v>1</v>
      </c>
      <c r="B3" s="2"/>
      <c r="C3" s="2"/>
      <c r="D3" s="3"/>
    </row>
    <row r="4">
      <c r="A4" s="6" t="s">
        <v>2</v>
      </c>
      <c r="B4" s="6" t="s">
        <v>3</v>
      </c>
      <c r="C4" s="6" t="s">
        <v>4</v>
      </c>
      <c r="D4" s="6" t="s">
        <v>5</v>
      </c>
    </row>
    <row r="5">
      <c r="A5" s="7" t="s">
        <v>6</v>
      </c>
      <c r="B5" s="8" t="s">
        <v>7</v>
      </c>
      <c r="C5" s="8" t="s">
        <v>8</v>
      </c>
      <c r="D5" s="9" t="str">
        <f>HYPERLINK("https://script.google.com", "▶️ تشغيل")</f>
        <v>▶️ تشغيل</v>
      </c>
    </row>
    <row r="6">
      <c r="A6" s="7" t="s">
        <v>9</v>
      </c>
      <c r="B6" s="8" t="s">
        <v>10</v>
      </c>
      <c r="C6" s="8" t="s">
        <v>11</v>
      </c>
      <c r="D6" s="4"/>
    </row>
    <row r="7">
      <c r="A7" s="7" t="s">
        <v>12</v>
      </c>
      <c r="B7" s="8" t="s">
        <v>13</v>
      </c>
      <c r="C7" s="8" t="s">
        <v>14</v>
      </c>
      <c r="D7" s="9" t="str">
        <f>HYPERLINK("https://script.google.com", "🗑️ تصفير")</f>
        <v>🗑️ تصفير</v>
      </c>
    </row>
    <row r="8">
      <c r="A8" s="7" t="s">
        <v>15</v>
      </c>
      <c r="B8" s="8" t="s">
        <v>16</v>
      </c>
      <c r="C8" s="8" t="s">
        <v>8</v>
      </c>
      <c r="D8" s="9" t="str">
        <f>HYPERLINK("https://script.google.com", "▶️ تشغيل")</f>
        <v>▶️ تشغيل</v>
      </c>
    </row>
    <row r="9">
      <c r="A9" s="7" t="s">
        <v>17</v>
      </c>
      <c r="B9" s="8" t="s">
        <v>18</v>
      </c>
      <c r="C9" s="8" t="s">
        <v>8</v>
      </c>
      <c r="D9" s="9" t="str">
        <f>HYPERLINK("https://script.google.com", "🧪 اختبار")</f>
        <v>🧪 اختبار</v>
      </c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10" t="s">
        <v>19</v>
      </c>
      <c r="B12" s="2"/>
      <c r="C12" s="2"/>
      <c r="D12" s="3"/>
    </row>
    <row r="13">
      <c r="A13" s="6" t="s">
        <v>20</v>
      </c>
      <c r="B13" s="6" t="s">
        <v>21</v>
      </c>
      <c r="C13" s="6" t="s">
        <v>3</v>
      </c>
      <c r="D13" s="11"/>
    </row>
    <row r="14">
      <c r="A14" s="8" t="s">
        <v>22</v>
      </c>
      <c r="B14" s="7">
        <v>1.0</v>
      </c>
      <c r="C14" s="7" t="s">
        <v>23</v>
      </c>
      <c r="D14" s="4"/>
    </row>
    <row r="15">
      <c r="A15" s="8" t="s">
        <v>24</v>
      </c>
      <c r="B15" s="7">
        <v>14.0</v>
      </c>
      <c r="C15" s="8" t="s">
        <v>25</v>
      </c>
      <c r="D15" s="4"/>
    </row>
    <row r="16">
      <c r="A16" s="8" t="s">
        <v>26</v>
      </c>
      <c r="B16" s="7">
        <v>17.0</v>
      </c>
      <c r="C16" s="8" t="s">
        <v>27</v>
      </c>
      <c r="D16" s="4"/>
    </row>
    <row r="17">
      <c r="A17" s="8" t="s">
        <v>28</v>
      </c>
      <c r="B17" s="7" t="s">
        <v>29</v>
      </c>
      <c r="C17" s="7" t="s">
        <v>30</v>
      </c>
      <c r="D17" s="4"/>
    </row>
    <row r="18">
      <c r="A18" s="4"/>
      <c r="B18" s="4"/>
      <c r="C18" s="4"/>
      <c r="D18" s="4"/>
    </row>
    <row r="19">
      <c r="A19" s="12" t="s">
        <v>31</v>
      </c>
      <c r="B19" s="2"/>
      <c r="C19" s="2"/>
      <c r="D19" s="3"/>
    </row>
    <row r="20">
      <c r="A20" s="6" t="s">
        <v>32</v>
      </c>
      <c r="B20" s="6" t="s">
        <v>33</v>
      </c>
      <c r="C20" s="11"/>
      <c r="D20" s="11"/>
    </row>
    <row r="21">
      <c r="A21" s="7" t="s">
        <v>34</v>
      </c>
      <c r="B21" s="9" t="str">
        <f>HYPERLINK("https://script.google.com", "📝 فتح المحرر")</f>
        <v>📝 فتح المحرر</v>
      </c>
      <c r="C21" s="4"/>
      <c r="D21" s="4"/>
    </row>
    <row r="22">
      <c r="A22" s="7" t="s">
        <v>35</v>
      </c>
      <c r="B22" s="9" t="str">
        <f>HYPERLINK("https://script.google.com/macros/s/AKfycbxyr5DhKTnSEjxnnry1f83MKcrp79plbPwAA_nsqco/dev", "🌐 فتح Dashboard")</f>
        <v>🌐 فتح Dashboard</v>
      </c>
      <c r="C22" s="4"/>
      <c r="D22" s="4"/>
    </row>
    <row r="23">
      <c r="A23" s="7" t="s">
        <v>36</v>
      </c>
      <c r="B23" s="9" t="str">
        <f>HYPERLINK("https://t.me/YourBot", "💬 فتح البوت")</f>
        <v>💬 فتح البوت</v>
      </c>
      <c r="C23" s="4"/>
      <c r="D23" s="4"/>
    </row>
    <row r="24">
      <c r="A24" s="8" t="s">
        <v>37</v>
      </c>
      <c r="B24" s="9" t="str">
        <f>HYPERLINK("https://github.com", "📖 الوثائق")</f>
        <v>📖 الوثائق</v>
      </c>
      <c r="C24" s="4"/>
      <c r="D24" s="4"/>
    </row>
    <row r="25">
      <c r="A25" s="4"/>
      <c r="B25" s="4"/>
      <c r="C25" s="4"/>
      <c r="D25" s="4"/>
    </row>
    <row r="26">
      <c r="A26" s="13" t="s">
        <v>38</v>
      </c>
      <c r="B26" s="2"/>
      <c r="C26" s="2"/>
      <c r="D26" s="3"/>
    </row>
    <row r="27">
      <c r="A27" s="6" t="s">
        <v>39</v>
      </c>
      <c r="B27" s="6" t="s">
        <v>4</v>
      </c>
      <c r="C27" s="6" t="s">
        <v>40</v>
      </c>
      <c r="D27" s="6" t="s">
        <v>41</v>
      </c>
    </row>
    <row r="28">
      <c r="A28" s="7" t="s">
        <v>42</v>
      </c>
      <c r="B28" s="8" t="s">
        <v>43</v>
      </c>
      <c r="C28" s="14">
        <v>46042.980985428236</v>
      </c>
      <c r="D28" s="8" t="s">
        <v>44</v>
      </c>
    </row>
    <row r="29">
      <c r="A29" s="7" t="s">
        <v>45</v>
      </c>
      <c r="B29" s="8" t="s">
        <v>46</v>
      </c>
      <c r="C29" s="14">
        <v>46042.980985428236</v>
      </c>
      <c r="D29" s="8" t="s">
        <v>47</v>
      </c>
    </row>
    <row r="30">
      <c r="A30" s="7" t="s">
        <v>36</v>
      </c>
      <c r="B30" s="8" t="s">
        <v>46</v>
      </c>
      <c r="C30" s="14">
        <v>46042.980985428236</v>
      </c>
      <c r="D30" s="8" t="s">
        <v>48</v>
      </c>
    </row>
    <row r="31">
      <c r="A31" s="7" t="s">
        <v>35</v>
      </c>
      <c r="B31" s="8" t="s">
        <v>46</v>
      </c>
      <c r="C31" s="14">
        <v>46042.980985428236</v>
      </c>
      <c r="D31" s="8" t="s">
        <v>49</v>
      </c>
    </row>
    <row r="32">
      <c r="A32" s="7" t="s">
        <v>50</v>
      </c>
      <c r="B32" s="8" t="s">
        <v>51</v>
      </c>
      <c r="C32" s="14">
        <v>46042.980985428236</v>
      </c>
      <c r="D32" s="8" t="s">
        <v>52</v>
      </c>
    </row>
  </sheetData>
  <mergeCells count="5">
    <mergeCell ref="A1:D1"/>
    <mergeCell ref="A3:D3"/>
    <mergeCell ref="A12:D12"/>
    <mergeCell ref="A19:D19"/>
    <mergeCell ref="A26:D2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53</v>
      </c>
      <c r="B1" s="15" t="s">
        <v>54</v>
      </c>
      <c r="C1" s="15" t="s">
        <v>55</v>
      </c>
      <c r="D1" s="15" t="s">
        <v>56</v>
      </c>
      <c r="E1" s="15" t="s">
        <v>41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" t="s">
        <v>57</v>
      </c>
      <c r="B1" s="16" t="s">
        <v>58</v>
      </c>
      <c r="C1" s="16" t="s">
        <v>59</v>
      </c>
      <c r="D1" s="16" t="s">
        <v>60</v>
      </c>
      <c r="E1" s="16" t="s">
        <v>61</v>
      </c>
      <c r="F1" s="16" t="s">
        <v>62</v>
      </c>
    </row>
    <row r="2">
      <c r="A2" s="16" t="s">
        <v>63</v>
      </c>
      <c r="B2" s="17">
        <v>6.0</v>
      </c>
      <c r="C2" s="17">
        <v>4.0</v>
      </c>
      <c r="D2" s="17">
        <v>2.0</v>
      </c>
      <c r="E2" s="16" t="s">
        <v>64</v>
      </c>
      <c r="F2" s="16" t="s">
        <v>65</v>
      </c>
    </row>
    <row r="3">
      <c r="A3" s="16" t="s">
        <v>66</v>
      </c>
      <c r="B3" s="17">
        <v>6.0</v>
      </c>
      <c r="C3" s="17">
        <v>4.0</v>
      </c>
      <c r="D3" s="17">
        <v>2.0</v>
      </c>
      <c r="E3" s="16" t="s">
        <v>64</v>
      </c>
      <c r="F3" s="16" t="s">
        <v>65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.5"/>
    <col customWidth="1" min="2" max="2" width="4.5"/>
    <col customWidth="1" min="3" max="3" width="11.38"/>
    <col customWidth="1" min="4" max="4" width="10.0"/>
    <col customWidth="1" min="5" max="5" width="6.88"/>
    <col customWidth="1" min="6" max="7" width="10.75"/>
    <col customWidth="1" min="8" max="8" width="6.75"/>
    <col customWidth="1" min="9" max="9" width="5.25"/>
    <col customWidth="1" min="10" max="10" width="10.0"/>
  </cols>
  <sheetData>
    <row r="1">
      <c r="A1" s="18" t="s">
        <v>67</v>
      </c>
      <c r="B1" s="19" t="s">
        <v>53</v>
      </c>
      <c r="C1" s="19" t="s">
        <v>68</v>
      </c>
      <c r="D1" s="19" t="s">
        <v>69</v>
      </c>
      <c r="E1" s="19" t="s">
        <v>70</v>
      </c>
      <c r="F1" s="19" t="s">
        <v>71</v>
      </c>
      <c r="G1" s="19" t="s">
        <v>72</v>
      </c>
      <c r="H1" s="19" t="s">
        <v>73</v>
      </c>
      <c r="I1" s="19" t="s">
        <v>4</v>
      </c>
      <c r="J1" s="19" t="s">
        <v>74</v>
      </c>
    </row>
    <row r="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5.25"/>
    <col customWidth="1" min="3" max="3" width="6.0"/>
    <col customWidth="1" min="4" max="4" width="7.13"/>
    <col customWidth="1" min="5" max="5" width="10.75"/>
    <col customWidth="1" min="6" max="6" width="4.5"/>
    <col customWidth="1" min="7" max="7" width="5.25"/>
  </cols>
  <sheetData>
    <row r="1">
      <c r="A1" s="19" t="s">
        <v>75</v>
      </c>
      <c r="B1" s="19" t="s">
        <v>54</v>
      </c>
      <c r="C1" s="19" t="s">
        <v>76</v>
      </c>
      <c r="D1" s="19" t="s">
        <v>77</v>
      </c>
      <c r="E1" s="19" t="s">
        <v>78</v>
      </c>
      <c r="F1" s="19" t="s">
        <v>79</v>
      </c>
      <c r="G1" s="19" t="s">
        <v>4</v>
      </c>
    </row>
    <row r="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5.25"/>
    <col customWidth="1" min="3" max="3" width="7.13"/>
  </cols>
  <sheetData>
    <row r="1">
      <c r="A1" s="19" t="s">
        <v>80</v>
      </c>
      <c r="B1" s="19" t="s">
        <v>21</v>
      </c>
      <c r="C1" s="19" t="s">
        <v>40</v>
      </c>
    </row>
    <row r="2">
      <c r="A2" s="21" t="s">
        <v>81</v>
      </c>
      <c r="B2" s="20"/>
      <c r="C2" s="21" t="s">
        <v>82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21" t="s">
        <v>83</v>
      </c>
      <c r="B3" s="21">
        <v>0.0</v>
      </c>
      <c r="C3" s="21" t="s">
        <v>82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>
      <c r="A4" s="21" t="s">
        <v>84</v>
      </c>
      <c r="B4" s="21">
        <v>0.0</v>
      </c>
      <c r="C4" s="21" t="s">
        <v>82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A5" s="21" t="s">
        <v>85</v>
      </c>
      <c r="B5" s="21" t="b">
        <v>1</v>
      </c>
      <c r="C5" s="21" t="s">
        <v>82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>
      <c r="A6" s="21" t="s">
        <v>86</v>
      </c>
      <c r="B6" s="21" t="b">
        <v>1</v>
      </c>
      <c r="C6" s="21" t="s">
        <v>82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>
      <c r="A7" s="21" t="s">
        <v>87</v>
      </c>
      <c r="B7" s="21" t="b">
        <v>1</v>
      </c>
      <c r="C7" s="21" t="s">
        <v>82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>
      <c r="A8" s="21" t="s">
        <v>88</v>
      </c>
      <c r="B8" s="21">
        <v>1.0</v>
      </c>
      <c r="C8" s="21" t="s">
        <v>82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21" t="s">
        <v>89</v>
      </c>
      <c r="B9" s="21">
        <v>0.0</v>
      </c>
      <c r="C9" s="21" t="s">
        <v>82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>
      <c r="A10" s="21" t="s">
        <v>90</v>
      </c>
      <c r="B10" s="21" t="s">
        <v>91</v>
      </c>
      <c r="C10" s="22">
        <v>46046.978344814816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5.25"/>
    <col customWidth="1" min="3" max="3" width="7.13"/>
  </cols>
  <sheetData>
    <row r="1">
      <c r="A1" s="19" t="s">
        <v>92</v>
      </c>
      <c r="B1" s="19" t="s">
        <v>93</v>
      </c>
      <c r="C1" s="19" t="s">
        <v>40</v>
      </c>
    </row>
    <row r="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3" t="s">
        <v>92</v>
      </c>
      <c r="B1" s="24" t="s">
        <v>93</v>
      </c>
      <c r="C1" s="25" t="s">
        <v>40</v>
      </c>
    </row>
    <row r="2">
      <c r="A2" s="16" t="s">
        <v>94</v>
      </c>
      <c r="B2" s="26">
        <v>15000.0</v>
      </c>
      <c r="C2" s="27">
        <v>46046.65966282407</v>
      </c>
    </row>
    <row r="3">
      <c r="A3" s="16" t="s">
        <v>95</v>
      </c>
      <c r="B3" s="26">
        <v>5000.0</v>
      </c>
      <c r="C3" s="27">
        <v>46046.65966831018</v>
      </c>
    </row>
    <row r="4">
      <c r="A4" s="16" t="s">
        <v>96</v>
      </c>
      <c r="B4" s="26">
        <v>3000.0</v>
      </c>
      <c r="C4" s="27">
        <v>46046.65967392361</v>
      </c>
    </row>
    <row r="5">
      <c r="A5" s="16" t="s">
        <v>97</v>
      </c>
      <c r="B5" s="26">
        <v>-130.75</v>
      </c>
      <c r="C5" s="27">
        <v>46046.85771793981</v>
      </c>
    </row>
    <row r="6">
      <c r="B6" s="28"/>
      <c r="C6" s="29"/>
    </row>
    <row r="7">
      <c r="B7" s="28"/>
      <c r="C7" s="29"/>
    </row>
    <row r="8">
      <c r="B8" s="28"/>
      <c r="C8" s="29"/>
    </row>
    <row r="9">
      <c r="B9" s="28"/>
      <c r="C9" s="29"/>
    </row>
    <row r="10">
      <c r="B10" s="28"/>
      <c r="C10" s="29"/>
    </row>
    <row r="11">
      <c r="B11" s="28"/>
      <c r="C11" s="29"/>
    </row>
    <row r="12">
      <c r="B12" s="28"/>
      <c r="C12" s="29"/>
    </row>
    <row r="13">
      <c r="B13" s="28"/>
      <c r="C13" s="29"/>
    </row>
    <row r="14">
      <c r="B14" s="28"/>
      <c r="C14" s="29"/>
    </row>
    <row r="15">
      <c r="B15" s="28"/>
      <c r="C15" s="29"/>
    </row>
    <row r="16">
      <c r="B16" s="28"/>
      <c r="C16" s="29"/>
    </row>
    <row r="17">
      <c r="B17" s="28"/>
      <c r="C17" s="29"/>
    </row>
    <row r="18">
      <c r="B18" s="28"/>
      <c r="C18" s="29"/>
    </row>
    <row r="19">
      <c r="B19" s="28"/>
      <c r="C19" s="29"/>
    </row>
    <row r="20">
      <c r="B20" s="28"/>
      <c r="C20" s="29"/>
    </row>
    <row r="21">
      <c r="B21" s="28"/>
      <c r="C21" s="29"/>
    </row>
    <row r="22">
      <c r="B22" s="28"/>
      <c r="C22" s="29"/>
    </row>
    <row r="23">
      <c r="B23" s="28"/>
      <c r="C23" s="29"/>
    </row>
    <row r="24">
      <c r="B24" s="28"/>
      <c r="C24" s="29"/>
    </row>
    <row r="25">
      <c r="B25" s="28"/>
      <c r="C25" s="29"/>
    </row>
    <row r="26">
      <c r="B26" s="28"/>
      <c r="C26" s="29"/>
    </row>
    <row r="27">
      <c r="B27" s="28"/>
      <c r="C27" s="29"/>
    </row>
    <row r="28">
      <c r="B28" s="28"/>
      <c r="C28" s="29"/>
    </row>
    <row r="29">
      <c r="B29" s="28"/>
      <c r="C29" s="29"/>
    </row>
    <row r="30">
      <c r="B30" s="28"/>
      <c r="C30" s="29"/>
    </row>
    <row r="31">
      <c r="B31" s="28"/>
      <c r="C31" s="29"/>
    </row>
    <row r="32">
      <c r="B32" s="28"/>
      <c r="C32" s="29"/>
    </row>
    <row r="33">
      <c r="B33" s="28"/>
      <c r="C33" s="29"/>
    </row>
    <row r="34">
      <c r="B34" s="28"/>
      <c r="C34" s="29"/>
    </row>
    <row r="35">
      <c r="B35" s="28"/>
      <c r="C35" s="29"/>
    </row>
    <row r="36">
      <c r="B36" s="28"/>
      <c r="C36" s="29"/>
    </row>
    <row r="37">
      <c r="B37" s="28"/>
      <c r="C37" s="29"/>
    </row>
    <row r="38">
      <c r="B38" s="28"/>
      <c r="C38" s="29"/>
    </row>
    <row r="39">
      <c r="B39" s="28"/>
      <c r="C39" s="29"/>
    </row>
    <row r="40">
      <c r="B40" s="28"/>
      <c r="C40" s="29"/>
    </row>
    <row r="41">
      <c r="B41" s="28"/>
      <c r="C41" s="29"/>
    </row>
    <row r="42">
      <c r="B42" s="28"/>
      <c r="C42" s="29"/>
    </row>
    <row r="43">
      <c r="B43" s="28"/>
      <c r="C43" s="29"/>
    </row>
    <row r="44">
      <c r="B44" s="28"/>
      <c r="C44" s="29"/>
    </row>
    <row r="45">
      <c r="B45" s="28"/>
      <c r="C45" s="29"/>
    </row>
    <row r="46">
      <c r="B46" s="28"/>
      <c r="C46" s="29"/>
    </row>
    <row r="47">
      <c r="B47" s="28"/>
      <c r="C47" s="29"/>
    </row>
    <row r="48">
      <c r="B48" s="28"/>
      <c r="C48" s="29"/>
    </row>
    <row r="49">
      <c r="B49" s="28"/>
      <c r="C49" s="29"/>
    </row>
    <row r="50">
      <c r="B50" s="28"/>
      <c r="C50" s="29"/>
    </row>
    <row r="51">
      <c r="B51" s="28"/>
      <c r="C51" s="29"/>
    </row>
    <row r="52">
      <c r="B52" s="28"/>
      <c r="C52" s="29"/>
    </row>
    <row r="53">
      <c r="B53" s="28"/>
      <c r="C53" s="29"/>
    </row>
    <row r="54">
      <c r="B54" s="28"/>
      <c r="C54" s="29"/>
    </row>
    <row r="55">
      <c r="B55" s="28"/>
      <c r="C55" s="29"/>
    </row>
    <row r="56">
      <c r="B56" s="28"/>
      <c r="C56" s="29"/>
    </row>
    <row r="57">
      <c r="B57" s="28"/>
      <c r="C57" s="29"/>
    </row>
    <row r="58">
      <c r="B58" s="28"/>
      <c r="C58" s="29"/>
    </row>
    <row r="59">
      <c r="B59" s="28"/>
      <c r="C59" s="29"/>
    </row>
    <row r="60">
      <c r="B60" s="28"/>
      <c r="C60" s="29"/>
    </row>
    <row r="61">
      <c r="B61" s="28"/>
      <c r="C61" s="29"/>
    </row>
    <row r="62">
      <c r="B62" s="28"/>
      <c r="C62" s="29"/>
    </row>
    <row r="63">
      <c r="B63" s="28"/>
      <c r="C63" s="29"/>
    </row>
    <row r="64">
      <c r="B64" s="28"/>
      <c r="C64" s="29"/>
    </row>
    <row r="65">
      <c r="B65" s="28"/>
      <c r="C65" s="29"/>
    </row>
    <row r="66">
      <c r="B66" s="28"/>
      <c r="C66" s="29"/>
    </row>
    <row r="67">
      <c r="B67" s="28"/>
      <c r="C67" s="29"/>
    </row>
    <row r="68">
      <c r="B68" s="28"/>
      <c r="C68" s="29"/>
    </row>
    <row r="69">
      <c r="B69" s="28"/>
      <c r="C69" s="29"/>
    </row>
    <row r="70">
      <c r="B70" s="28"/>
      <c r="C70" s="29"/>
    </row>
    <row r="71">
      <c r="B71" s="28"/>
      <c r="C71" s="29"/>
    </row>
    <row r="72">
      <c r="B72" s="28"/>
      <c r="C72" s="29"/>
    </row>
    <row r="73">
      <c r="B73" s="28"/>
      <c r="C73" s="29"/>
    </row>
    <row r="74">
      <c r="B74" s="28"/>
      <c r="C74" s="29"/>
    </row>
    <row r="75">
      <c r="B75" s="28"/>
      <c r="C75" s="29"/>
    </row>
    <row r="76">
      <c r="B76" s="28"/>
      <c r="C76" s="29"/>
    </row>
    <row r="77">
      <c r="B77" s="28"/>
      <c r="C77" s="29"/>
    </row>
    <row r="78">
      <c r="B78" s="28"/>
      <c r="C78" s="29"/>
    </row>
    <row r="79">
      <c r="B79" s="28"/>
      <c r="C79" s="29"/>
    </row>
    <row r="80">
      <c r="B80" s="28"/>
      <c r="C80" s="29"/>
    </row>
    <row r="81">
      <c r="B81" s="28"/>
      <c r="C81" s="29"/>
    </row>
    <row r="82">
      <c r="B82" s="28"/>
      <c r="C82" s="29"/>
    </row>
    <row r="83">
      <c r="B83" s="28"/>
      <c r="C83" s="29"/>
    </row>
    <row r="84">
      <c r="B84" s="28"/>
      <c r="C84" s="29"/>
    </row>
    <row r="85">
      <c r="B85" s="28"/>
      <c r="C85" s="29"/>
    </row>
    <row r="86">
      <c r="B86" s="28"/>
      <c r="C86" s="29"/>
    </row>
    <row r="87">
      <c r="B87" s="28"/>
      <c r="C87" s="29"/>
    </row>
    <row r="88">
      <c r="B88" s="28"/>
      <c r="C88" s="29"/>
    </row>
    <row r="89">
      <c r="B89" s="28"/>
      <c r="C89" s="29"/>
    </row>
    <row r="90">
      <c r="B90" s="28"/>
      <c r="C90" s="29"/>
    </row>
    <row r="91">
      <c r="B91" s="28"/>
      <c r="C91" s="29"/>
    </row>
    <row r="92">
      <c r="B92" s="28"/>
      <c r="C92" s="29"/>
    </row>
    <row r="93">
      <c r="B93" s="28"/>
      <c r="C93" s="29"/>
    </row>
    <row r="94">
      <c r="B94" s="28"/>
      <c r="C94" s="29"/>
    </row>
    <row r="95">
      <c r="B95" s="28"/>
      <c r="C95" s="29"/>
    </row>
    <row r="96">
      <c r="B96" s="28"/>
      <c r="C96" s="29"/>
    </row>
    <row r="97">
      <c r="B97" s="28"/>
      <c r="C97" s="29"/>
    </row>
    <row r="98">
      <c r="B98" s="28"/>
      <c r="C98" s="29"/>
    </row>
    <row r="99">
      <c r="B99" s="28"/>
      <c r="C99" s="29"/>
    </row>
    <row r="100">
      <c r="B100" s="28"/>
      <c r="C100" s="29"/>
    </row>
    <row r="101">
      <c r="B101" s="28"/>
      <c r="C101" s="29"/>
    </row>
    <row r="102">
      <c r="B102" s="28"/>
      <c r="C102" s="29"/>
    </row>
    <row r="103">
      <c r="B103" s="28"/>
      <c r="C103" s="29"/>
    </row>
    <row r="104">
      <c r="B104" s="28"/>
      <c r="C104" s="29"/>
    </row>
    <row r="105">
      <c r="B105" s="28"/>
      <c r="C105" s="29"/>
    </row>
    <row r="106">
      <c r="B106" s="28"/>
      <c r="C106" s="29"/>
    </row>
    <row r="107">
      <c r="B107" s="28"/>
      <c r="C107" s="29"/>
    </row>
    <row r="108">
      <c r="B108" s="28"/>
      <c r="C108" s="29"/>
    </row>
    <row r="109">
      <c r="B109" s="28"/>
      <c r="C109" s="29"/>
    </row>
    <row r="110">
      <c r="B110" s="28"/>
      <c r="C110" s="29"/>
    </row>
    <row r="111">
      <c r="B111" s="28"/>
      <c r="C111" s="29"/>
    </row>
    <row r="112">
      <c r="B112" s="28"/>
      <c r="C112" s="29"/>
    </row>
    <row r="113">
      <c r="B113" s="28"/>
      <c r="C113" s="29"/>
    </row>
    <row r="114">
      <c r="B114" s="28"/>
      <c r="C114" s="29"/>
    </row>
    <row r="115">
      <c r="B115" s="28"/>
      <c r="C115" s="29"/>
    </row>
    <row r="116">
      <c r="B116" s="28"/>
      <c r="C116" s="29"/>
    </row>
    <row r="117">
      <c r="B117" s="28"/>
      <c r="C117" s="29"/>
    </row>
    <row r="118">
      <c r="B118" s="28"/>
      <c r="C118" s="29"/>
    </row>
    <row r="119">
      <c r="B119" s="28"/>
      <c r="C119" s="29"/>
    </row>
    <row r="120">
      <c r="B120" s="28"/>
      <c r="C120" s="29"/>
    </row>
    <row r="121">
      <c r="B121" s="28"/>
      <c r="C121" s="29"/>
    </row>
    <row r="122">
      <c r="B122" s="28"/>
      <c r="C122" s="29"/>
    </row>
    <row r="123">
      <c r="B123" s="28"/>
      <c r="C123" s="29"/>
    </row>
    <row r="124">
      <c r="B124" s="28"/>
      <c r="C124" s="29"/>
    </row>
    <row r="125">
      <c r="B125" s="28"/>
      <c r="C125" s="29"/>
    </row>
    <row r="126">
      <c r="B126" s="28"/>
      <c r="C126" s="29"/>
    </row>
    <row r="127">
      <c r="B127" s="28"/>
      <c r="C127" s="29"/>
    </row>
    <row r="128">
      <c r="B128" s="28"/>
      <c r="C128" s="29"/>
    </row>
    <row r="129">
      <c r="B129" s="28"/>
      <c r="C129" s="29"/>
    </row>
    <row r="130">
      <c r="B130" s="28"/>
      <c r="C130" s="29"/>
    </row>
    <row r="131">
      <c r="B131" s="28"/>
      <c r="C131" s="29"/>
    </row>
    <row r="132">
      <c r="B132" s="28"/>
      <c r="C132" s="29"/>
    </row>
    <row r="133">
      <c r="B133" s="28"/>
      <c r="C133" s="29"/>
    </row>
    <row r="134">
      <c r="B134" s="28"/>
      <c r="C134" s="29"/>
    </row>
    <row r="135">
      <c r="B135" s="28"/>
      <c r="C135" s="29"/>
    </row>
    <row r="136">
      <c r="B136" s="28"/>
      <c r="C136" s="29"/>
    </row>
    <row r="137">
      <c r="B137" s="28"/>
      <c r="C137" s="29"/>
    </row>
    <row r="138">
      <c r="B138" s="28"/>
      <c r="C138" s="29"/>
    </row>
    <row r="139">
      <c r="B139" s="28"/>
      <c r="C139" s="29"/>
    </row>
    <row r="140">
      <c r="B140" s="28"/>
      <c r="C140" s="29"/>
    </row>
    <row r="141">
      <c r="B141" s="28"/>
      <c r="C141" s="29"/>
    </row>
    <row r="142">
      <c r="B142" s="28"/>
      <c r="C142" s="29"/>
    </row>
    <row r="143">
      <c r="B143" s="28"/>
      <c r="C143" s="29"/>
    </row>
    <row r="144">
      <c r="B144" s="28"/>
      <c r="C144" s="29"/>
    </row>
    <row r="145">
      <c r="B145" s="28"/>
      <c r="C145" s="29"/>
    </row>
    <row r="146">
      <c r="B146" s="28"/>
      <c r="C146" s="29"/>
    </row>
    <row r="147">
      <c r="B147" s="28"/>
      <c r="C147" s="29"/>
    </row>
    <row r="148">
      <c r="B148" s="28"/>
      <c r="C148" s="29"/>
    </row>
    <row r="149">
      <c r="B149" s="28"/>
      <c r="C149" s="29"/>
    </row>
    <row r="150">
      <c r="B150" s="28"/>
      <c r="C150" s="29"/>
    </row>
    <row r="151">
      <c r="B151" s="28"/>
      <c r="C151" s="29"/>
    </row>
    <row r="152">
      <c r="B152" s="28"/>
      <c r="C152" s="29"/>
    </row>
    <row r="153">
      <c r="B153" s="28"/>
      <c r="C153" s="29"/>
    </row>
    <row r="154">
      <c r="B154" s="28"/>
      <c r="C154" s="29"/>
    </row>
    <row r="155">
      <c r="B155" s="28"/>
      <c r="C155" s="29"/>
    </row>
    <row r="156">
      <c r="B156" s="28"/>
      <c r="C156" s="29"/>
    </row>
    <row r="157">
      <c r="B157" s="28"/>
      <c r="C157" s="29"/>
    </row>
    <row r="158">
      <c r="B158" s="28"/>
      <c r="C158" s="29"/>
    </row>
    <row r="159">
      <c r="B159" s="28"/>
      <c r="C159" s="29"/>
    </row>
    <row r="160">
      <c r="B160" s="28"/>
      <c r="C160" s="29"/>
    </row>
    <row r="161">
      <c r="B161" s="28"/>
      <c r="C161" s="29"/>
    </row>
    <row r="162">
      <c r="B162" s="28"/>
      <c r="C162" s="29"/>
    </row>
    <row r="163">
      <c r="B163" s="28"/>
      <c r="C163" s="29"/>
    </row>
    <row r="164">
      <c r="B164" s="28"/>
      <c r="C164" s="29"/>
    </row>
    <row r="165">
      <c r="B165" s="28"/>
      <c r="C165" s="29"/>
    </row>
    <row r="166">
      <c r="B166" s="28"/>
      <c r="C166" s="29"/>
    </row>
    <row r="167">
      <c r="B167" s="28"/>
      <c r="C167" s="29"/>
    </row>
    <row r="168">
      <c r="B168" s="28"/>
      <c r="C168" s="29"/>
    </row>
    <row r="169">
      <c r="B169" s="28"/>
      <c r="C169" s="29"/>
    </row>
    <row r="170">
      <c r="B170" s="28"/>
      <c r="C170" s="29"/>
    </row>
    <row r="171">
      <c r="B171" s="28"/>
      <c r="C171" s="29"/>
    </row>
    <row r="172">
      <c r="B172" s="28"/>
      <c r="C172" s="29"/>
    </row>
    <row r="173">
      <c r="B173" s="28"/>
      <c r="C173" s="29"/>
    </row>
    <row r="174">
      <c r="B174" s="28"/>
      <c r="C174" s="29"/>
    </row>
    <row r="175">
      <c r="B175" s="28"/>
      <c r="C175" s="29"/>
    </row>
    <row r="176">
      <c r="B176" s="28"/>
      <c r="C176" s="29"/>
    </row>
    <row r="177">
      <c r="B177" s="28"/>
      <c r="C177" s="29"/>
    </row>
    <row r="178">
      <c r="B178" s="28"/>
      <c r="C178" s="29"/>
    </row>
    <row r="179">
      <c r="B179" s="28"/>
      <c r="C179" s="29"/>
    </row>
    <row r="180">
      <c r="B180" s="28"/>
      <c r="C180" s="29"/>
    </row>
    <row r="181">
      <c r="B181" s="28"/>
      <c r="C181" s="29"/>
    </row>
    <row r="182">
      <c r="B182" s="28"/>
      <c r="C182" s="29"/>
    </row>
    <row r="183">
      <c r="B183" s="28"/>
      <c r="C183" s="29"/>
    </row>
    <row r="184">
      <c r="B184" s="28"/>
      <c r="C184" s="29"/>
    </row>
    <row r="185">
      <c r="B185" s="28"/>
      <c r="C185" s="29"/>
    </row>
    <row r="186">
      <c r="B186" s="28"/>
      <c r="C186" s="29"/>
    </row>
    <row r="187">
      <c r="B187" s="28"/>
      <c r="C187" s="29"/>
    </row>
    <row r="188">
      <c r="B188" s="28"/>
      <c r="C188" s="29"/>
    </row>
    <row r="189">
      <c r="B189" s="28"/>
      <c r="C189" s="29"/>
    </row>
    <row r="190">
      <c r="B190" s="28"/>
      <c r="C190" s="29"/>
    </row>
    <row r="191">
      <c r="B191" s="28"/>
      <c r="C191" s="29"/>
    </row>
    <row r="192">
      <c r="B192" s="28"/>
      <c r="C192" s="29"/>
    </row>
    <row r="193">
      <c r="B193" s="28"/>
      <c r="C193" s="29"/>
    </row>
    <row r="194">
      <c r="B194" s="28"/>
      <c r="C194" s="29"/>
    </row>
    <row r="195">
      <c r="B195" s="28"/>
      <c r="C195" s="29"/>
    </row>
    <row r="196">
      <c r="B196" s="28"/>
      <c r="C196" s="29"/>
    </row>
    <row r="197">
      <c r="B197" s="28"/>
      <c r="C197" s="29"/>
    </row>
    <row r="198">
      <c r="B198" s="28"/>
      <c r="C198" s="29"/>
    </row>
    <row r="199">
      <c r="B199" s="28"/>
      <c r="C199" s="29"/>
    </row>
    <row r="200">
      <c r="B200" s="28"/>
      <c r="C200" s="29"/>
    </row>
    <row r="201">
      <c r="B201" s="28"/>
      <c r="C201" s="29"/>
    </row>
    <row r="202">
      <c r="B202" s="28"/>
      <c r="C202" s="29"/>
    </row>
    <row r="203">
      <c r="B203" s="28"/>
      <c r="C203" s="29"/>
    </row>
    <row r="204">
      <c r="B204" s="28"/>
      <c r="C204" s="29"/>
    </row>
    <row r="205">
      <c r="B205" s="28"/>
      <c r="C205" s="29"/>
    </row>
    <row r="206">
      <c r="B206" s="28"/>
      <c r="C206" s="29"/>
    </row>
    <row r="207">
      <c r="B207" s="28"/>
      <c r="C207" s="29"/>
    </row>
    <row r="208">
      <c r="B208" s="28"/>
      <c r="C208" s="29"/>
    </row>
    <row r="209">
      <c r="B209" s="28"/>
      <c r="C209" s="29"/>
    </row>
    <row r="210">
      <c r="B210" s="28"/>
      <c r="C210" s="29"/>
    </row>
    <row r="211">
      <c r="B211" s="28"/>
      <c r="C211" s="29"/>
    </row>
    <row r="212">
      <c r="B212" s="28"/>
      <c r="C212" s="29"/>
    </row>
    <row r="213">
      <c r="B213" s="28"/>
      <c r="C213" s="29"/>
    </row>
    <row r="214">
      <c r="B214" s="28"/>
      <c r="C214" s="29"/>
    </row>
    <row r="215">
      <c r="B215" s="28"/>
      <c r="C215" s="29"/>
    </row>
    <row r="216">
      <c r="B216" s="28"/>
      <c r="C216" s="29"/>
    </row>
    <row r="217">
      <c r="B217" s="28"/>
      <c r="C217" s="29"/>
    </row>
    <row r="218">
      <c r="B218" s="28"/>
      <c r="C218" s="29"/>
    </row>
    <row r="219">
      <c r="B219" s="28"/>
      <c r="C219" s="29"/>
    </row>
    <row r="220">
      <c r="B220" s="28"/>
      <c r="C220" s="29"/>
    </row>
    <row r="221">
      <c r="B221" s="28"/>
      <c r="C221" s="29"/>
    </row>
    <row r="222">
      <c r="B222" s="28"/>
      <c r="C222" s="29"/>
    </row>
    <row r="223">
      <c r="B223" s="28"/>
      <c r="C223" s="29"/>
    </row>
    <row r="224">
      <c r="B224" s="28"/>
      <c r="C224" s="29"/>
    </row>
    <row r="225">
      <c r="B225" s="28"/>
      <c r="C225" s="29"/>
    </row>
    <row r="226">
      <c r="B226" s="28"/>
      <c r="C226" s="29"/>
    </row>
    <row r="227">
      <c r="B227" s="28"/>
      <c r="C227" s="29"/>
    </row>
    <row r="228">
      <c r="B228" s="28"/>
      <c r="C228" s="29"/>
    </row>
    <row r="229">
      <c r="B229" s="28"/>
      <c r="C229" s="29"/>
    </row>
    <row r="230">
      <c r="B230" s="28"/>
      <c r="C230" s="29"/>
    </row>
    <row r="231">
      <c r="B231" s="28"/>
      <c r="C231" s="29"/>
    </row>
    <row r="232">
      <c r="B232" s="28"/>
      <c r="C232" s="29"/>
    </row>
    <row r="233">
      <c r="B233" s="28"/>
      <c r="C233" s="29"/>
    </row>
    <row r="234">
      <c r="B234" s="28"/>
      <c r="C234" s="29"/>
    </row>
    <row r="235">
      <c r="B235" s="28"/>
      <c r="C235" s="29"/>
    </row>
    <row r="236">
      <c r="B236" s="28"/>
      <c r="C236" s="29"/>
    </row>
    <row r="237">
      <c r="B237" s="28"/>
      <c r="C237" s="29"/>
    </row>
    <row r="238">
      <c r="B238" s="28"/>
      <c r="C238" s="29"/>
    </row>
    <row r="239">
      <c r="B239" s="28"/>
      <c r="C239" s="29"/>
    </row>
    <row r="240">
      <c r="B240" s="28"/>
      <c r="C240" s="29"/>
    </row>
    <row r="241">
      <c r="B241" s="28"/>
      <c r="C241" s="29"/>
    </row>
    <row r="242">
      <c r="B242" s="28"/>
      <c r="C242" s="29"/>
    </row>
    <row r="243">
      <c r="B243" s="28"/>
      <c r="C243" s="29"/>
    </row>
    <row r="244">
      <c r="B244" s="28"/>
      <c r="C244" s="29"/>
    </row>
    <row r="245">
      <c r="B245" s="28"/>
      <c r="C245" s="29"/>
    </row>
    <row r="246">
      <c r="B246" s="28"/>
      <c r="C246" s="29"/>
    </row>
    <row r="247">
      <c r="B247" s="28"/>
      <c r="C247" s="29"/>
    </row>
    <row r="248">
      <c r="B248" s="28"/>
      <c r="C248" s="29"/>
    </row>
    <row r="249">
      <c r="B249" s="28"/>
      <c r="C249" s="29"/>
    </row>
    <row r="250">
      <c r="B250" s="28"/>
      <c r="C250" s="29"/>
    </row>
    <row r="251">
      <c r="B251" s="28"/>
      <c r="C251" s="29"/>
    </row>
    <row r="252">
      <c r="B252" s="28"/>
      <c r="C252" s="29"/>
    </row>
    <row r="253">
      <c r="B253" s="28"/>
      <c r="C253" s="29"/>
    </row>
    <row r="254">
      <c r="B254" s="28"/>
      <c r="C254" s="29"/>
    </row>
    <row r="255">
      <c r="B255" s="28"/>
      <c r="C255" s="29"/>
    </row>
    <row r="256">
      <c r="B256" s="28"/>
      <c r="C256" s="29"/>
    </row>
    <row r="257">
      <c r="B257" s="28"/>
      <c r="C257" s="29"/>
    </row>
    <row r="258">
      <c r="B258" s="28"/>
      <c r="C258" s="29"/>
    </row>
    <row r="259">
      <c r="B259" s="28"/>
      <c r="C259" s="29"/>
    </row>
    <row r="260">
      <c r="B260" s="28"/>
      <c r="C260" s="29"/>
    </row>
    <row r="261">
      <c r="B261" s="28"/>
      <c r="C261" s="29"/>
    </row>
    <row r="262">
      <c r="B262" s="28"/>
      <c r="C262" s="29"/>
    </row>
    <row r="263">
      <c r="B263" s="28"/>
      <c r="C263" s="29"/>
    </row>
    <row r="264">
      <c r="B264" s="28"/>
      <c r="C264" s="29"/>
    </row>
    <row r="265">
      <c r="B265" s="28"/>
      <c r="C265" s="29"/>
    </row>
    <row r="266">
      <c r="B266" s="28"/>
      <c r="C266" s="29"/>
    </row>
    <row r="267">
      <c r="B267" s="28"/>
      <c r="C267" s="29"/>
    </row>
    <row r="268">
      <c r="B268" s="28"/>
      <c r="C268" s="29"/>
    </row>
    <row r="269">
      <c r="B269" s="28"/>
      <c r="C269" s="29"/>
    </row>
    <row r="270">
      <c r="B270" s="28"/>
      <c r="C270" s="29"/>
    </row>
    <row r="271">
      <c r="B271" s="28"/>
      <c r="C271" s="29"/>
    </row>
    <row r="272">
      <c r="B272" s="28"/>
      <c r="C272" s="29"/>
    </row>
    <row r="273">
      <c r="B273" s="28"/>
      <c r="C273" s="29"/>
    </row>
    <row r="274">
      <c r="B274" s="28"/>
      <c r="C274" s="29"/>
    </row>
    <row r="275">
      <c r="B275" s="28"/>
      <c r="C275" s="29"/>
    </row>
    <row r="276">
      <c r="B276" s="28"/>
      <c r="C276" s="29"/>
    </row>
    <row r="277">
      <c r="B277" s="28"/>
      <c r="C277" s="29"/>
    </row>
    <row r="278">
      <c r="B278" s="28"/>
      <c r="C278" s="29"/>
    </row>
    <row r="279">
      <c r="B279" s="28"/>
      <c r="C279" s="29"/>
    </row>
    <row r="280">
      <c r="B280" s="28"/>
      <c r="C280" s="29"/>
    </row>
    <row r="281">
      <c r="B281" s="28"/>
      <c r="C281" s="29"/>
    </row>
    <row r="282">
      <c r="B282" s="28"/>
      <c r="C282" s="29"/>
    </row>
    <row r="283">
      <c r="B283" s="28"/>
      <c r="C283" s="29"/>
    </row>
    <row r="284">
      <c r="B284" s="28"/>
      <c r="C284" s="29"/>
    </row>
    <row r="285">
      <c r="B285" s="28"/>
      <c r="C285" s="29"/>
    </row>
    <row r="286">
      <c r="B286" s="28"/>
      <c r="C286" s="29"/>
    </row>
    <row r="287">
      <c r="B287" s="28"/>
      <c r="C287" s="29"/>
    </row>
    <row r="288">
      <c r="B288" s="28"/>
      <c r="C288" s="29"/>
    </row>
    <row r="289">
      <c r="B289" s="28"/>
      <c r="C289" s="29"/>
    </row>
    <row r="290">
      <c r="B290" s="28"/>
      <c r="C290" s="29"/>
    </row>
    <row r="291">
      <c r="B291" s="28"/>
      <c r="C291" s="29"/>
    </row>
    <row r="292">
      <c r="B292" s="28"/>
      <c r="C292" s="29"/>
    </row>
    <row r="293">
      <c r="B293" s="28"/>
      <c r="C293" s="29"/>
    </row>
    <row r="294">
      <c r="B294" s="28"/>
      <c r="C294" s="29"/>
    </row>
    <row r="295">
      <c r="B295" s="28"/>
      <c r="C295" s="29"/>
    </row>
    <row r="296">
      <c r="B296" s="28"/>
      <c r="C296" s="29"/>
    </row>
    <row r="297">
      <c r="B297" s="28"/>
      <c r="C297" s="29"/>
    </row>
    <row r="298">
      <c r="B298" s="28"/>
      <c r="C298" s="29"/>
    </row>
    <row r="299">
      <c r="B299" s="28"/>
      <c r="C299" s="29"/>
    </row>
    <row r="300">
      <c r="B300" s="28"/>
      <c r="C300" s="29"/>
    </row>
    <row r="301">
      <c r="B301" s="28"/>
      <c r="C301" s="29"/>
    </row>
    <row r="302">
      <c r="B302" s="28"/>
      <c r="C302" s="29"/>
    </row>
    <row r="303">
      <c r="B303" s="28"/>
      <c r="C303" s="29"/>
    </row>
    <row r="304">
      <c r="B304" s="28"/>
      <c r="C304" s="29"/>
    </row>
    <row r="305">
      <c r="B305" s="28"/>
      <c r="C305" s="29"/>
    </row>
    <row r="306">
      <c r="B306" s="28"/>
      <c r="C306" s="29"/>
    </row>
    <row r="307">
      <c r="B307" s="28"/>
      <c r="C307" s="29"/>
    </row>
    <row r="308">
      <c r="B308" s="28"/>
      <c r="C308" s="29"/>
    </row>
    <row r="309">
      <c r="B309" s="28"/>
      <c r="C309" s="29"/>
    </row>
    <row r="310">
      <c r="B310" s="28"/>
      <c r="C310" s="29"/>
    </row>
    <row r="311">
      <c r="B311" s="28"/>
      <c r="C311" s="29"/>
    </row>
    <row r="312">
      <c r="B312" s="28"/>
      <c r="C312" s="29"/>
    </row>
    <row r="313">
      <c r="B313" s="28"/>
      <c r="C313" s="29"/>
    </row>
    <row r="314">
      <c r="B314" s="28"/>
      <c r="C314" s="29"/>
    </row>
    <row r="315">
      <c r="B315" s="28"/>
      <c r="C315" s="29"/>
    </row>
    <row r="316">
      <c r="B316" s="28"/>
      <c r="C316" s="29"/>
    </row>
    <row r="317">
      <c r="B317" s="28"/>
      <c r="C317" s="29"/>
    </row>
    <row r="318">
      <c r="B318" s="28"/>
      <c r="C318" s="29"/>
    </row>
    <row r="319">
      <c r="B319" s="28"/>
      <c r="C319" s="29"/>
    </row>
    <row r="320">
      <c r="B320" s="28"/>
      <c r="C320" s="29"/>
    </row>
    <row r="321">
      <c r="B321" s="28"/>
      <c r="C321" s="29"/>
    </row>
    <row r="322">
      <c r="B322" s="28"/>
      <c r="C322" s="29"/>
    </row>
    <row r="323">
      <c r="B323" s="28"/>
      <c r="C323" s="29"/>
    </row>
    <row r="324">
      <c r="B324" s="28"/>
      <c r="C324" s="29"/>
    </row>
    <row r="325">
      <c r="B325" s="28"/>
      <c r="C325" s="29"/>
    </row>
    <row r="326">
      <c r="B326" s="28"/>
      <c r="C326" s="29"/>
    </row>
    <row r="327">
      <c r="B327" s="28"/>
      <c r="C327" s="29"/>
    </row>
    <row r="328">
      <c r="B328" s="28"/>
      <c r="C328" s="29"/>
    </row>
    <row r="329">
      <c r="B329" s="28"/>
      <c r="C329" s="29"/>
    </row>
    <row r="330">
      <c r="B330" s="28"/>
      <c r="C330" s="29"/>
    </row>
    <row r="331">
      <c r="B331" s="28"/>
      <c r="C331" s="29"/>
    </row>
    <row r="332">
      <c r="B332" s="28"/>
      <c r="C332" s="29"/>
    </row>
    <row r="333">
      <c r="B333" s="28"/>
      <c r="C333" s="29"/>
    </row>
    <row r="334">
      <c r="B334" s="28"/>
      <c r="C334" s="29"/>
    </row>
    <row r="335">
      <c r="B335" s="28"/>
      <c r="C335" s="29"/>
    </row>
    <row r="336">
      <c r="B336" s="28"/>
      <c r="C336" s="29"/>
    </row>
    <row r="337">
      <c r="B337" s="28"/>
      <c r="C337" s="29"/>
    </row>
    <row r="338">
      <c r="B338" s="28"/>
      <c r="C338" s="29"/>
    </row>
    <row r="339">
      <c r="B339" s="28"/>
      <c r="C339" s="29"/>
    </row>
    <row r="340">
      <c r="B340" s="28"/>
      <c r="C340" s="29"/>
    </row>
    <row r="341">
      <c r="B341" s="28"/>
      <c r="C341" s="29"/>
    </row>
    <row r="342">
      <c r="B342" s="28"/>
      <c r="C342" s="29"/>
    </row>
    <row r="343">
      <c r="B343" s="28"/>
      <c r="C343" s="29"/>
    </row>
    <row r="344">
      <c r="B344" s="28"/>
      <c r="C344" s="29"/>
    </row>
    <row r="345">
      <c r="B345" s="28"/>
      <c r="C345" s="29"/>
    </row>
    <row r="346">
      <c r="B346" s="28"/>
      <c r="C346" s="29"/>
    </row>
    <row r="347">
      <c r="B347" s="28"/>
      <c r="C347" s="29"/>
    </row>
    <row r="348">
      <c r="B348" s="28"/>
      <c r="C348" s="29"/>
    </row>
    <row r="349">
      <c r="B349" s="28"/>
      <c r="C349" s="29"/>
    </row>
    <row r="350">
      <c r="B350" s="28"/>
      <c r="C350" s="29"/>
    </row>
    <row r="351">
      <c r="B351" s="28"/>
      <c r="C351" s="29"/>
    </row>
    <row r="352">
      <c r="B352" s="28"/>
      <c r="C352" s="29"/>
    </row>
    <row r="353">
      <c r="B353" s="28"/>
      <c r="C353" s="29"/>
    </row>
    <row r="354">
      <c r="B354" s="28"/>
      <c r="C354" s="29"/>
    </row>
    <row r="355">
      <c r="B355" s="28"/>
      <c r="C355" s="29"/>
    </row>
    <row r="356">
      <c r="B356" s="28"/>
      <c r="C356" s="29"/>
    </row>
    <row r="357">
      <c r="B357" s="28"/>
      <c r="C357" s="29"/>
    </row>
    <row r="358">
      <c r="B358" s="28"/>
      <c r="C358" s="29"/>
    </row>
    <row r="359">
      <c r="B359" s="28"/>
      <c r="C359" s="29"/>
    </row>
    <row r="360">
      <c r="B360" s="28"/>
      <c r="C360" s="29"/>
    </row>
    <row r="361">
      <c r="B361" s="28"/>
      <c r="C361" s="29"/>
    </row>
    <row r="362">
      <c r="B362" s="28"/>
      <c r="C362" s="29"/>
    </row>
    <row r="363">
      <c r="B363" s="28"/>
      <c r="C363" s="29"/>
    </row>
    <row r="364">
      <c r="B364" s="28"/>
      <c r="C364" s="29"/>
    </row>
    <row r="365">
      <c r="B365" s="28"/>
      <c r="C365" s="29"/>
    </row>
    <row r="366">
      <c r="B366" s="28"/>
      <c r="C366" s="29"/>
    </row>
    <row r="367">
      <c r="B367" s="28"/>
      <c r="C367" s="29"/>
    </row>
    <row r="368">
      <c r="B368" s="28"/>
      <c r="C368" s="29"/>
    </row>
    <row r="369">
      <c r="B369" s="28"/>
      <c r="C369" s="29"/>
    </row>
    <row r="370">
      <c r="B370" s="28"/>
      <c r="C370" s="29"/>
    </row>
    <row r="371">
      <c r="B371" s="28"/>
      <c r="C371" s="29"/>
    </row>
    <row r="372">
      <c r="B372" s="28"/>
      <c r="C372" s="29"/>
    </row>
    <row r="373">
      <c r="B373" s="28"/>
      <c r="C373" s="29"/>
    </row>
    <row r="374">
      <c r="B374" s="28"/>
      <c r="C374" s="29"/>
    </row>
    <row r="375">
      <c r="B375" s="28"/>
      <c r="C375" s="29"/>
    </row>
    <row r="376">
      <c r="B376" s="28"/>
      <c r="C376" s="29"/>
    </row>
    <row r="377">
      <c r="B377" s="28"/>
      <c r="C377" s="29"/>
    </row>
    <row r="378">
      <c r="B378" s="28"/>
      <c r="C378" s="29"/>
    </row>
    <row r="379">
      <c r="B379" s="28"/>
      <c r="C379" s="29"/>
    </row>
    <row r="380">
      <c r="B380" s="28"/>
      <c r="C380" s="29"/>
    </row>
    <row r="381">
      <c r="B381" s="28"/>
      <c r="C381" s="29"/>
    </row>
    <row r="382">
      <c r="B382" s="28"/>
      <c r="C382" s="29"/>
    </row>
    <row r="383">
      <c r="B383" s="28"/>
      <c r="C383" s="29"/>
    </row>
    <row r="384">
      <c r="B384" s="28"/>
      <c r="C384" s="29"/>
    </row>
    <row r="385">
      <c r="B385" s="28"/>
      <c r="C385" s="29"/>
    </row>
    <row r="386">
      <c r="B386" s="28"/>
      <c r="C386" s="29"/>
    </row>
    <row r="387">
      <c r="B387" s="28"/>
      <c r="C387" s="29"/>
    </row>
    <row r="388">
      <c r="B388" s="28"/>
      <c r="C388" s="29"/>
    </row>
    <row r="389">
      <c r="B389" s="28"/>
      <c r="C389" s="29"/>
    </row>
    <row r="390">
      <c r="B390" s="28"/>
      <c r="C390" s="29"/>
    </row>
    <row r="391">
      <c r="B391" s="28"/>
      <c r="C391" s="29"/>
    </row>
    <row r="392">
      <c r="B392" s="28"/>
      <c r="C392" s="29"/>
    </row>
    <row r="393">
      <c r="B393" s="28"/>
      <c r="C393" s="29"/>
    </row>
    <row r="394">
      <c r="B394" s="28"/>
      <c r="C394" s="29"/>
    </row>
    <row r="395">
      <c r="B395" s="28"/>
      <c r="C395" s="29"/>
    </row>
    <row r="396">
      <c r="B396" s="28"/>
      <c r="C396" s="29"/>
    </row>
    <row r="397">
      <c r="B397" s="28"/>
      <c r="C397" s="29"/>
    </row>
    <row r="398">
      <c r="B398" s="28"/>
      <c r="C398" s="29"/>
    </row>
    <row r="399">
      <c r="B399" s="28"/>
      <c r="C399" s="29"/>
    </row>
    <row r="400">
      <c r="B400" s="28"/>
      <c r="C400" s="29"/>
    </row>
    <row r="401">
      <c r="B401" s="28"/>
      <c r="C401" s="29"/>
    </row>
    <row r="402">
      <c r="B402" s="28"/>
      <c r="C402" s="29"/>
    </row>
    <row r="403">
      <c r="B403" s="28"/>
      <c r="C403" s="29"/>
    </row>
    <row r="404">
      <c r="B404" s="28"/>
      <c r="C404" s="29"/>
    </row>
    <row r="405">
      <c r="B405" s="28"/>
      <c r="C405" s="29"/>
    </row>
    <row r="406">
      <c r="B406" s="28"/>
      <c r="C406" s="29"/>
    </row>
    <row r="407">
      <c r="B407" s="28"/>
      <c r="C407" s="29"/>
    </row>
    <row r="408">
      <c r="B408" s="28"/>
      <c r="C408" s="29"/>
    </row>
    <row r="409">
      <c r="B409" s="28"/>
      <c r="C409" s="29"/>
    </row>
    <row r="410">
      <c r="B410" s="28"/>
      <c r="C410" s="29"/>
    </row>
    <row r="411">
      <c r="B411" s="28"/>
      <c r="C411" s="29"/>
    </row>
    <row r="412">
      <c r="B412" s="28"/>
      <c r="C412" s="29"/>
    </row>
    <row r="413">
      <c r="B413" s="28"/>
      <c r="C413" s="29"/>
    </row>
    <row r="414">
      <c r="B414" s="28"/>
      <c r="C414" s="29"/>
    </row>
    <row r="415">
      <c r="B415" s="28"/>
      <c r="C415" s="29"/>
    </row>
    <row r="416">
      <c r="B416" s="28"/>
      <c r="C416" s="29"/>
    </row>
    <row r="417">
      <c r="B417" s="28"/>
      <c r="C417" s="29"/>
    </row>
    <row r="418">
      <c r="B418" s="28"/>
      <c r="C418" s="29"/>
    </row>
    <row r="419">
      <c r="B419" s="28"/>
      <c r="C419" s="29"/>
    </row>
    <row r="420">
      <c r="B420" s="28"/>
      <c r="C420" s="29"/>
    </row>
    <row r="421">
      <c r="B421" s="28"/>
      <c r="C421" s="29"/>
    </row>
    <row r="422">
      <c r="B422" s="28"/>
      <c r="C422" s="29"/>
    </row>
    <row r="423">
      <c r="B423" s="28"/>
      <c r="C423" s="29"/>
    </row>
    <row r="424">
      <c r="B424" s="28"/>
      <c r="C424" s="29"/>
    </row>
    <row r="425">
      <c r="B425" s="28"/>
      <c r="C425" s="29"/>
    </row>
    <row r="426">
      <c r="B426" s="28"/>
      <c r="C426" s="29"/>
    </row>
    <row r="427">
      <c r="B427" s="28"/>
      <c r="C427" s="29"/>
    </row>
    <row r="428">
      <c r="B428" s="28"/>
      <c r="C428" s="29"/>
    </row>
    <row r="429">
      <c r="B429" s="28"/>
      <c r="C429" s="29"/>
    </row>
    <row r="430">
      <c r="B430" s="28"/>
      <c r="C430" s="29"/>
    </row>
    <row r="431">
      <c r="B431" s="28"/>
      <c r="C431" s="29"/>
    </row>
    <row r="432">
      <c r="B432" s="28"/>
      <c r="C432" s="29"/>
    </row>
    <row r="433">
      <c r="B433" s="28"/>
      <c r="C433" s="29"/>
    </row>
    <row r="434">
      <c r="B434" s="28"/>
      <c r="C434" s="29"/>
    </row>
    <row r="435">
      <c r="B435" s="28"/>
      <c r="C435" s="29"/>
    </row>
    <row r="436">
      <c r="B436" s="28"/>
      <c r="C436" s="29"/>
    </row>
    <row r="437">
      <c r="B437" s="28"/>
      <c r="C437" s="29"/>
    </row>
    <row r="438">
      <c r="B438" s="28"/>
      <c r="C438" s="29"/>
    </row>
    <row r="439">
      <c r="B439" s="28"/>
      <c r="C439" s="29"/>
    </row>
    <row r="440">
      <c r="B440" s="28"/>
      <c r="C440" s="29"/>
    </row>
    <row r="441">
      <c r="B441" s="28"/>
      <c r="C441" s="29"/>
    </row>
    <row r="442">
      <c r="B442" s="28"/>
      <c r="C442" s="29"/>
    </row>
    <row r="443">
      <c r="B443" s="28"/>
      <c r="C443" s="29"/>
    </row>
    <row r="444">
      <c r="B444" s="28"/>
      <c r="C444" s="29"/>
    </row>
    <row r="445">
      <c r="B445" s="28"/>
      <c r="C445" s="29"/>
    </row>
    <row r="446">
      <c r="B446" s="28"/>
      <c r="C446" s="29"/>
    </row>
    <row r="447">
      <c r="B447" s="28"/>
      <c r="C447" s="29"/>
    </row>
    <row r="448">
      <c r="B448" s="28"/>
      <c r="C448" s="29"/>
    </row>
    <row r="449">
      <c r="B449" s="28"/>
      <c r="C449" s="29"/>
    </row>
    <row r="450">
      <c r="B450" s="28"/>
      <c r="C450" s="29"/>
    </row>
    <row r="451">
      <c r="B451" s="28"/>
      <c r="C451" s="29"/>
    </row>
    <row r="452">
      <c r="B452" s="28"/>
      <c r="C452" s="29"/>
    </row>
    <row r="453">
      <c r="B453" s="28"/>
      <c r="C453" s="29"/>
    </row>
    <row r="454">
      <c r="B454" s="28"/>
      <c r="C454" s="29"/>
    </row>
    <row r="455">
      <c r="B455" s="28"/>
      <c r="C455" s="29"/>
    </row>
    <row r="456">
      <c r="B456" s="28"/>
      <c r="C456" s="29"/>
    </row>
    <row r="457">
      <c r="B457" s="28"/>
      <c r="C457" s="29"/>
    </row>
    <row r="458">
      <c r="B458" s="28"/>
      <c r="C458" s="29"/>
    </row>
    <row r="459">
      <c r="B459" s="28"/>
      <c r="C459" s="29"/>
    </row>
    <row r="460">
      <c r="B460" s="28"/>
      <c r="C460" s="29"/>
    </row>
    <row r="461">
      <c r="B461" s="28"/>
      <c r="C461" s="29"/>
    </row>
    <row r="462">
      <c r="B462" s="28"/>
      <c r="C462" s="29"/>
    </row>
    <row r="463">
      <c r="B463" s="28"/>
      <c r="C463" s="29"/>
    </row>
    <row r="464">
      <c r="B464" s="28"/>
      <c r="C464" s="29"/>
    </row>
    <row r="465">
      <c r="B465" s="28"/>
      <c r="C465" s="29"/>
    </row>
    <row r="466">
      <c r="B466" s="28"/>
      <c r="C466" s="29"/>
    </row>
    <row r="467">
      <c r="B467" s="28"/>
      <c r="C467" s="29"/>
    </row>
    <row r="468">
      <c r="B468" s="28"/>
      <c r="C468" s="29"/>
    </row>
    <row r="469">
      <c r="B469" s="28"/>
      <c r="C469" s="29"/>
    </row>
    <row r="470">
      <c r="B470" s="28"/>
      <c r="C470" s="29"/>
    </row>
    <row r="471">
      <c r="B471" s="28"/>
      <c r="C471" s="29"/>
    </row>
    <row r="472">
      <c r="B472" s="28"/>
      <c r="C472" s="29"/>
    </row>
    <row r="473">
      <c r="B473" s="28"/>
      <c r="C473" s="29"/>
    </row>
    <row r="474">
      <c r="B474" s="28"/>
      <c r="C474" s="29"/>
    </row>
    <row r="475">
      <c r="B475" s="28"/>
      <c r="C475" s="29"/>
    </row>
    <row r="476">
      <c r="B476" s="28"/>
      <c r="C476" s="29"/>
    </row>
    <row r="477">
      <c r="B477" s="28"/>
      <c r="C477" s="29"/>
    </row>
    <row r="478">
      <c r="B478" s="28"/>
      <c r="C478" s="29"/>
    </row>
    <row r="479">
      <c r="B479" s="28"/>
      <c r="C479" s="29"/>
    </row>
    <row r="480">
      <c r="B480" s="28"/>
      <c r="C480" s="29"/>
    </row>
    <row r="481">
      <c r="B481" s="28"/>
      <c r="C481" s="29"/>
    </row>
    <row r="482">
      <c r="B482" s="28"/>
      <c r="C482" s="29"/>
    </row>
    <row r="483">
      <c r="B483" s="28"/>
      <c r="C483" s="29"/>
    </row>
    <row r="484">
      <c r="B484" s="28"/>
      <c r="C484" s="29"/>
    </row>
    <row r="485">
      <c r="B485" s="28"/>
      <c r="C485" s="29"/>
    </row>
    <row r="486">
      <c r="B486" s="28"/>
      <c r="C486" s="29"/>
    </row>
    <row r="487">
      <c r="B487" s="28"/>
      <c r="C487" s="29"/>
    </row>
    <row r="488">
      <c r="B488" s="28"/>
      <c r="C488" s="29"/>
    </row>
    <row r="489">
      <c r="B489" s="28"/>
      <c r="C489" s="29"/>
    </row>
    <row r="490">
      <c r="B490" s="28"/>
      <c r="C490" s="29"/>
    </row>
    <row r="491">
      <c r="B491" s="28"/>
      <c r="C491" s="29"/>
    </row>
    <row r="492">
      <c r="B492" s="28"/>
      <c r="C492" s="29"/>
    </row>
    <row r="493">
      <c r="B493" s="28"/>
      <c r="C493" s="29"/>
    </row>
    <row r="494">
      <c r="B494" s="28"/>
      <c r="C494" s="29"/>
    </row>
    <row r="495">
      <c r="B495" s="28"/>
      <c r="C495" s="29"/>
    </row>
    <row r="496">
      <c r="B496" s="28"/>
      <c r="C496" s="29"/>
    </row>
    <row r="497">
      <c r="B497" s="28"/>
      <c r="C497" s="29"/>
    </row>
    <row r="498">
      <c r="B498" s="28"/>
      <c r="C498" s="29"/>
    </row>
    <row r="499">
      <c r="B499" s="28"/>
      <c r="C499" s="29"/>
    </row>
    <row r="500">
      <c r="B500" s="28"/>
      <c r="C500" s="29"/>
    </row>
    <row r="501">
      <c r="B501" s="28"/>
      <c r="C501" s="29"/>
    </row>
    <row r="502">
      <c r="B502" s="28"/>
      <c r="C502" s="29"/>
    </row>
    <row r="503">
      <c r="B503" s="28"/>
      <c r="C503" s="29"/>
    </row>
    <row r="504">
      <c r="B504" s="28"/>
      <c r="C504" s="29"/>
    </row>
    <row r="505">
      <c r="B505" s="28"/>
      <c r="C505" s="29"/>
    </row>
    <row r="506">
      <c r="B506" s="28"/>
      <c r="C506" s="29"/>
    </row>
    <row r="507">
      <c r="B507" s="28"/>
      <c r="C507" s="29"/>
    </row>
    <row r="508">
      <c r="B508" s="28"/>
      <c r="C508" s="29"/>
    </row>
    <row r="509">
      <c r="B509" s="28"/>
      <c r="C509" s="29"/>
    </row>
    <row r="510">
      <c r="B510" s="28"/>
      <c r="C510" s="29"/>
    </row>
    <row r="511">
      <c r="B511" s="28"/>
      <c r="C511" s="29"/>
    </row>
    <row r="512">
      <c r="B512" s="28"/>
      <c r="C512" s="29"/>
    </row>
    <row r="513">
      <c r="B513" s="28"/>
      <c r="C513" s="29"/>
    </row>
    <row r="514">
      <c r="B514" s="28"/>
      <c r="C514" s="29"/>
    </row>
    <row r="515">
      <c r="B515" s="28"/>
      <c r="C515" s="29"/>
    </row>
    <row r="516">
      <c r="B516" s="28"/>
      <c r="C516" s="29"/>
    </row>
    <row r="517">
      <c r="B517" s="28"/>
      <c r="C517" s="29"/>
    </row>
    <row r="518">
      <c r="B518" s="28"/>
      <c r="C518" s="29"/>
    </row>
    <row r="519">
      <c r="B519" s="28"/>
      <c r="C519" s="29"/>
    </row>
    <row r="520">
      <c r="B520" s="28"/>
      <c r="C520" s="29"/>
    </row>
    <row r="521">
      <c r="B521" s="28"/>
      <c r="C521" s="29"/>
    </row>
    <row r="522">
      <c r="B522" s="28"/>
      <c r="C522" s="29"/>
    </row>
    <row r="523">
      <c r="B523" s="28"/>
      <c r="C523" s="29"/>
    </row>
    <row r="524">
      <c r="B524" s="28"/>
      <c r="C524" s="29"/>
    </row>
    <row r="525">
      <c r="B525" s="28"/>
      <c r="C525" s="29"/>
    </row>
    <row r="526">
      <c r="B526" s="28"/>
      <c r="C526" s="29"/>
    </row>
    <row r="527">
      <c r="B527" s="28"/>
      <c r="C527" s="29"/>
    </row>
    <row r="528">
      <c r="B528" s="28"/>
      <c r="C528" s="29"/>
    </row>
    <row r="529">
      <c r="B529" s="28"/>
      <c r="C529" s="29"/>
    </row>
    <row r="530">
      <c r="B530" s="28"/>
      <c r="C530" s="29"/>
    </row>
    <row r="531">
      <c r="B531" s="28"/>
      <c r="C531" s="29"/>
    </row>
    <row r="532">
      <c r="B532" s="28"/>
      <c r="C532" s="29"/>
    </row>
    <row r="533">
      <c r="B533" s="28"/>
      <c r="C533" s="29"/>
    </row>
    <row r="534">
      <c r="B534" s="28"/>
      <c r="C534" s="29"/>
    </row>
    <row r="535">
      <c r="B535" s="28"/>
      <c r="C535" s="29"/>
    </row>
    <row r="536">
      <c r="B536" s="28"/>
      <c r="C536" s="29"/>
    </row>
    <row r="537">
      <c r="B537" s="28"/>
      <c r="C537" s="29"/>
    </row>
    <row r="538">
      <c r="B538" s="28"/>
      <c r="C538" s="29"/>
    </row>
    <row r="539">
      <c r="B539" s="28"/>
      <c r="C539" s="29"/>
    </row>
    <row r="540">
      <c r="B540" s="28"/>
      <c r="C540" s="29"/>
    </row>
    <row r="541">
      <c r="B541" s="28"/>
      <c r="C541" s="29"/>
    </row>
    <row r="542">
      <c r="B542" s="28"/>
      <c r="C542" s="29"/>
    </row>
    <row r="543">
      <c r="B543" s="28"/>
      <c r="C543" s="29"/>
    </row>
    <row r="544">
      <c r="B544" s="28"/>
      <c r="C544" s="29"/>
    </row>
    <row r="545">
      <c r="B545" s="28"/>
      <c r="C545" s="29"/>
    </row>
    <row r="546">
      <c r="B546" s="28"/>
      <c r="C546" s="29"/>
    </row>
    <row r="547">
      <c r="B547" s="28"/>
      <c r="C547" s="29"/>
    </row>
    <row r="548">
      <c r="B548" s="28"/>
      <c r="C548" s="29"/>
    </row>
    <row r="549">
      <c r="B549" s="28"/>
      <c r="C549" s="29"/>
    </row>
    <row r="550">
      <c r="B550" s="28"/>
      <c r="C550" s="29"/>
    </row>
    <row r="551">
      <c r="B551" s="28"/>
      <c r="C551" s="29"/>
    </row>
    <row r="552">
      <c r="B552" s="28"/>
      <c r="C552" s="29"/>
    </row>
    <row r="553">
      <c r="B553" s="28"/>
      <c r="C553" s="29"/>
    </row>
    <row r="554">
      <c r="B554" s="28"/>
      <c r="C554" s="29"/>
    </row>
    <row r="555">
      <c r="B555" s="28"/>
      <c r="C555" s="29"/>
    </row>
    <row r="556">
      <c r="B556" s="28"/>
      <c r="C556" s="29"/>
    </row>
    <row r="557">
      <c r="B557" s="28"/>
      <c r="C557" s="29"/>
    </row>
    <row r="558">
      <c r="B558" s="28"/>
      <c r="C558" s="29"/>
    </row>
    <row r="559">
      <c r="B559" s="28"/>
      <c r="C559" s="29"/>
    </row>
    <row r="560">
      <c r="B560" s="28"/>
      <c r="C560" s="29"/>
    </row>
    <row r="561">
      <c r="B561" s="28"/>
      <c r="C561" s="29"/>
    </row>
    <row r="562">
      <c r="B562" s="28"/>
      <c r="C562" s="29"/>
    </row>
    <row r="563">
      <c r="B563" s="28"/>
      <c r="C563" s="29"/>
    </row>
    <row r="564">
      <c r="B564" s="28"/>
      <c r="C564" s="29"/>
    </row>
    <row r="565">
      <c r="B565" s="28"/>
      <c r="C565" s="29"/>
    </row>
    <row r="566">
      <c r="B566" s="28"/>
      <c r="C566" s="29"/>
    </row>
    <row r="567">
      <c r="B567" s="28"/>
      <c r="C567" s="29"/>
    </row>
    <row r="568">
      <c r="B568" s="28"/>
      <c r="C568" s="29"/>
    </row>
    <row r="569">
      <c r="B569" s="28"/>
      <c r="C569" s="29"/>
    </row>
    <row r="570">
      <c r="B570" s="28"/>
      <c r="C570" s="29"/>
    </row>
    <row r="571">
      <c r="B571" s="28"/>
      <c r="C571" s="29"/>
    </row>
    <row r="572">
      <c r="B572" s="28"/>
      <c r="C572" s="29"/>
    </row>
    <row r="573">
      <c r="B573" s="28"/>
      <c r="C573" s="29"/>
    </row>
    <row r="574">
      <c r="B574" s="28"/>
      <c r="C574" s="29"/>
    </row>
    <row r="575">
      <c r="B575" s="28"/>
      <c r="C575" s="29"/>
    </row>
    <row r="576">
      <c r="B576" s="28"/>
      <c r="C576" s="29"/>
    </row>
    <row r="577">
      <c r="B577" s="28"/>
      <c r="C577" s="29"/>
    </row>
    <row r="578">
      <c r="B578" s="28"/>
      <c r="C578" s="29"/>
    </row>
    <row r="579">
      <c r="B579" s="28"/>
      <c r="C579" s="29"/>
    </row>
    <row r="580">
      <c r="B580" s="28"/>
      <c r="C580" s="29"/>
    </row>
    <row r="581">
      <c r="B581" s="28"/>
      <c r="C581" s="29"/>
    </row>
    <row r="582">
      <c r="B582" s="28"/>
      <c r="C582" s="29"/>
    </row>
    <row r="583">
      <c r="B583" s="28"/>
      <c r="C583" s="29"/>
    </row>
    <row r="584">
      <c r="B584" s="28"/>
      <c r="C584" s="29"/>
    </row>
    <row r="585">
      <c r="B585" s="28"/>
      <c r="C585" s="29"/>
    </row>
    <row r="586">
      <c r="B586" s="28"/>
      <c r="C586" s="29"/>
    </row>
    <row r="587">
      <c r="B587" s="28"/>
      <c r="C587" s="29"/>
    </row>
    <row r="588">
      <c r="B588" s="28"/>
      <c r="C588" s="29"/>
    </row>
    <row r="589">
      <c r="B589" s="28"/>
      <c r="C589" s="29"/>
    </row>
    <row r="590">
      <c r="B590" s="28"/>
      <c r="C590" s="29"/>
    </row>
    <row r="591">
      <c r="B591" s="28"/>
      <c r="C591" s="29"/>
    </row>
    <row r="592">
      <c r="B592" s="28"/>
      <c r="C592" s="29"/>
    </row>
    <row r="593">
      <c r="B593" s="28"/>
      <c r="C593" s="29"/>
    </row>
    <row r="594">
      <c r="B594" s="28"/>
      <c r="C594" s="29"/>
    </row>
    <row r="595">
      <c r="B595" s="28"/>
      <c r="C595" s="29"/>
    </row>
    <row r="596">
      <c r="B596" s="28"/>
      <c r="C596" s="29"/>
    </row>
    <row r="597">
      <c r="B597" s="28"/>
      <c r="C597" s="29"/>
    </row>
    <row r="598">
      <c r="B598" s="28"/>
      <c r="C598" s="29"/>
    </row>
    <row r="599">
      <c r="B599" s="28"/>
      <c r="C599" s="29"/>
    </row>
    <row r="600">
      <c r="B600" s="28"/>
      <c r="C600" s="29"/>
    </row>
    <row r="601">
      <c r="B601" s="28"/>
      <c r="C601" s="29"/>
    </row>
    <row r="602">
      <c r="B602" s="28"/>
      <c r="C602" s="29"/>
    </row>
    <row r="603">
      <c r="B603" s="28"/>
      <c r="C603" s="29"/>
    </row>
    <row r="604">
      <c r="B604" s="28"/>
      <c r="C604" s="29"/>
    </row>
    <row r="605">
      <c r="B605" s="28"/>
      <c r="C605" s="29"/>
    </row>
    <row r="606">
      <c r="B606" s="28"/>
      <c r="C606" s="29"/>
    </row>
    <row r="607">
      <c r="B607" s="28"/>
      <c r="C607" s="29"/>
    </row>
    <row r="608">
      <c r="B608" s="28"/>
      <c r="C608" s="29"/>
    </row>
    <row r="609">
      <c r="B609" s="28"/>
      <c r="C609" s="29"/>
    </row>
    <row r="610">
      <c r="B610" s="28"/>
      <c r="C610" s="29"/>
    </row>
    <row r="611">
      <c r="B611" s="28"/>
      <c r="C611" s="29"/>
    </row>
    <row r="612">
      <c r="B612" s="28"/>
      <c r="C612" s="29"/>
    </row>
    <row r="613">
      <c r="B613" s="28"/>
      <c r="C613" s="29"/>
    </row>
    <row r="614">
      <c r="B614" s="28"/>
      <c r="C614" s="29"/>
    </row>
    <row r="615">
      <c r="B615" s="28"/>
      <c r="C615" s="29"/>
    </row>
    <row r="616">
      <c r="B616" s="28"/>
      <c r="C616" s="29"/>
    </row>
    <row r="617">
      <c r="B617" s="28"/>
      <c r="C617" s="29"/>
    </row>
    <row r="618">
      <c r="B618" s="28"/>
      <c r="C618" s="29"/>
    </row>
    <row r="619">
      <c r="B619" s="28"/>
      <c r="C619" s="29"/>
    </row>
    <row r="620">
      <c r="B620" s="28"/>
      <c r="C620" s="29"/>
    </row>
    <row r="621">
      <c r="B621" s="28"/>
      <c r="C621" s="29"/>
    </row>
    <row r="622">
      <c r="B622" s="28"/>
      <c r="C622" s="29"/>
    </row>
    <row r="623">
      <c r="B623" s="28"/>
      <c r="C623" s="29"/>
    </row>
    <row r="624">
      <c r="B624" s="28"/>
      <c r="C624" s="29"/>
    </row>
    <row r="625">
      <c r="B625" s="28"/>
      <c r="C625" s="29"/>
    </row>
    <row r="626">
      <c r="B626" s="28"/>
      <c r="C626" s="29"/>
    </row>
    <row r="627">
      <c r="B627" s="28"/>
      <c r="C627" s="29"/>
    </row>
    <row r="628">
      <c r="B628" s="28"/>
      <c r="C628" s="29"/>
    </row>
    <row r="629">
      <c r="B629" s="28"/>
      <c r="C629" s="29"/>
    </row>
    <row r="630">
      <c r="B630" s="28"/>
      <c r="C630" s="29"/>
    </row>
    <row r="631">
      <c r="B631" s="28"/>
      <c r="C631" s="29"/>
    </row>
    <row r="632">
      <c r="B632" s="28"/>
      <c r="C632" s="29"/>
    </row>
    <row r="633">
      <c r="B633" s="28"/>
      <c r="C633" s="29"/>
    </row>
    <row r="634">
      <c r="B634" s="28"/>
      <c r="C634" s="29"/>
    </row>
    <row r="635">
      <c r="B635" s="28"/>
      <c r="C635" s="29"/>
    </row>
    <row r="636">
      <c r="B636" s="28"/>
      <c r="C636" s="29"/>
    </row>
    <row r="637">
      <c r="B637" s="28"/>
      <c r="C637" s="29"/>
    </row>
    <row r="638">
      <c r="B638" s="28"/>
      <c r="C638" s="29"/>
    </row>
    <row r="639">
      <c r="B639" s="28"/>
      <c r="C639" s="29"/>
    </row>
    <row r="640">
      <c r="B640" s="28"/>
      <c r="C640" s="29"/>
    </row>
    <row r="641">
      <c r="B641" s="28"/>
      <c r="C641" s="29"/>
    </row>
    <row r="642">
      <c r="B642" s="28"/>
      <c r="C642" s="29"/>
    </row>
    <row r="643">
      <c r="B643" s="28"/>
      <c r="C643" s="29"/>
    </row>
    <row r="644">
      <c r="B644" s="28"/>
      <c r="C644" s="29"/>
    </row>
    <row r="645">
      <c r="B645" s="28"/>
      <c r="C645" s="29"/>
    </row>
    <row r="646">
      <c r="B646" s="28"/>
      <c r="C646" s="29"/>
    </row>
    <row r="647">
      <c r="B647" s="28"/>
      <c r="C647" s="29"/>
    </row>
    <row r="648">
      <c r="B648" s="28"/>
      <c r="C648" s="29"/>
    </row>
    <row r="649">
      <c r="B649" s="28"/>
      <c r="C649" s="29"/>
    </row>
    <row r="650">
      <c r="B650" s="28"/>
      <c r="C650" s="29"/>
    </row>
    <row r="651">
      <c r="B651" s="28"/>
      <c r="C651" s="29"/>
    </row>
    <row r="652">
      <c r="B652" s="28"/>
      <c r="C652" s="29"/>
    </row>
    <row r="653">
      <c r="B653" s="28"/>
      <c r="C653" s="29"/>
    </row>
    <row r="654">
      <c r="B654" s="28"/>
      <c r="C654" s="29"/>
    </row>
    <row r="655">
      <c r="B655" s="28"/>
      <c r="C655" s="29"/>
    </row>
    <row r="656">
      <c r="B656" s="28"/>
      <c r="C656" s="29"/>
    </row>
    <row r="657">
      <c r="B657" s="28"/>
      <c r="C657" s="29"/>
    </row>
    <row r="658">
      <c r="B658" s="28"/>
      <c r="C658" s="29"/>
    </row>
    <row r="659">
      <c r="B659" s="28"/>
      <c r="C659" s="29"/>
    </row>
    <row r="660">
      <c r="B660" s="28"/>
      <c r="C660" s="29"/>
    </row>
    <row r="661">
      <c r="B661" s="28"/>
      <c r="C661" s="29"/>
    </row>
    <row r="662">
      <c r="B662" s="28"/>
      <c r="C662" s="29"/>
    </row>
    <row r="663">
      <c r="B663" s="28"/>
      <c r="C663" s="29"/>
    </row>
    <row r="664">
      <c r="B664" s="28"/>
      <c r="C664" s="29"/>
    </row>
    <row r="665">
      <c r="B665" s="28"/>
      <c r="C665" s="29"/>
    </row>
    <row r="666">
      <c r="B666" s="28"/>
      <c r="C666" s="29"/>
    </row>
    <row r="667">
      <c r="B667" s="28"/>
      <c r="C667" s="29"/>
    </row>
    <row r="668">
      <c r="B668" s="28"/>
      <c r="C668" s="29"/>
    </row>
    <row r="669">
      <c r="B669" s="28"/>
      <c r="C669" s="29"/>
    </row>
    <row r="670">
      <c r="B670" s="28"/>
      <c r="C670" s="29"/>
    </row>
    <row r="671">
      <c r="B671" s="28"/>
      <c r="C671" s="29"/>
    </row>
    <row r="672">
      <c r="B672" s="28"/>
      <c r="C672" s="29"/>
    </row>
    <row r="673">
      <c r="B673" s="28"/>
      <c r="C673" s="29"/>
    </row>
    <row r="674">
      <c r="B674" s="28"/>
      <c r="C674" s="29"/>
    </row>
    <row r="675">
      <c r="B675" s="28"/>
      <c r="C675" s="29"/>
    </row>
    <row r="676">
      <c r="B676" s="28"/>
      <c r="C676" s="29"/>
    </row>
    <row r="677">
      <c r="B677" s="28"/>
      <c r="C677" s="29"/>
    </row>
    <row r="678">
      <c r="B678" s="28"/>
      <c r="C678" s="29"/>
    </row>
    <row r="679">
      <c r="B679" s="28"/>
      <c r="C679" s="29"/>
    </row>
    <row r="680">
      <c r="B680" s="28"/>
      <c r="C680" s="29"/>
    </row>
    <row r="681">
      <c r="B681" s="28"/>
      <c r="C681" s="29"/>
    </row>
    <row r="682">
      <c r="B682" s="28"/>
      <c r="C682" s="29"/>
    </row>
    <row r="683">
      <c r="B683" s="28"/>
      <c r="C683" s="29"/>
    </row>
    <row r="684">
      <c r="B684" s="28"/>
      <c r="C684" s="29"/>
    </row>
    <row r="685">
      <c r="B685" s="28"/>
      <c r="C685" s="29"/>
    </row>
    <row r="686">
      <c r="B686" s="28"/>
      <c r="C686" s="29"/>
    </row>
    <row r="687">
      <c r="B687" s="28"/>
      <c r="C687" s="29"/>
    </row>
    <row r="688">
      <c r="B688" s="28"/>
      <c r="C688" s="29"/>
    </row>
    <row r="689">
      <c r="B689" s="28"/>
      <c r="C689" s="29"/>
    </row>
    <row r="690">
      <c r="B690" s="28"/>
      <c r="C690" s="29"/>
    </row>
    <row r="691">
      <c r="B691" s="28"/>
      <c r="C691" s="29"/>
    </row>
    <row r="692">
      <c r="B692" s="28"/>
      <c r="C692" s="29"/>
    </row>
    <row r="693">
      <c r="B693" s="28"/>
      <c r="C693" s="29"/>
    </row>
    <row r="694">
      <c r="B694" s="28"/>
      <c r="C694" s="29"/>
    </row>
    <row r="695">
      <c r="B695" s="28"/>
      <c r="C695" s="29"/>
    </row>
    <row r="696">
      <c r="B696" s="28"/>
      <c r="C696" s="29"/>
    </row>
    <row r="697">
      <c r="B697" s="28"/>
      <c r="C697" s="29"/>
    </row>
    <row r="698">
      <c r="B698" s="28"/>
      <c r="C698" s="29"/>
    </row>
    <row r="699">
      <c r="B699" s="28"/>
      <c r="C699" s="29"/>
    </row>
    <row r="700">
      <c r="B700" s="28"/>
      <c r="C700" s="29"/>
    </row>
    <row r="701">
      <c r="B701" s="28"/>
      <c r="C701" s="29"/>
    </row>
    <row r="702">
      <c r="B702" s="28"/>
      <c r="C702" s="29"/>
    </row>
    <row r="703">
      <c r="B703" s="28"/>
      <c r="C703" s="29"/>
    </row>
    <row r="704">
      <c r="B704" s="28"/>
      <c r="C704" s="29"/>
    </row>
    <row r="705">
      <c r="B705" s="28"/>
      <c r="C705" s="29"/>
    </row>
    <row r="706">
      <c r="B706" s="28"/>
      <c r="C706" s="29"/>
    </row>
    <row r="707">
      <c r="B707" s="28"/>
      <c r="C707" s="29"/>
    </row>
    <row r="708">
      <c r="B708" s="28"/>
      <c r="C708" s="29"/>
    </row>
    <row r="709">
      <c r="B709" s="28"/>
      <c r="C709" s="29"/>
    </row>
    <row r="710">
      <c r="B710" s="28"/>
      <c r="C710" s="29"/>
    </row>
    <row r="711">
      <c r="B711" s="28"/>
      <c r="C711" s="29"/>
    </row>
    <row r="712">
      <c r="B712" s="28"/>
      <c r="C712" s="29"/>
    </row>
    <row r="713">
      <c r="B713" s="28"/>
      <c r="C713" s="29"/>
    </row>
    <row r="714">
      <c r="B714" s="28"/>
      <c r="C714" s="29"/>
    </row>
    <row r="715">
      <c r="B715" s="28"/>
      <c r="C715" s="29"/>
    </row>
    <row r="716">
      <c r="B716" s="28"/>
      <c r="C716" s="29"/>
    </row>
    <row r="717">
      <c r="B717" s="28"/>
      <c r="C717" s="29"/>
    </row>
    <row r="718">
      <c r="B718" s="28"/>
      <c r="C718" s="29"/>
    </row>
    <row r="719">
      <c r="B719" s="28"/>
      <c r="C719" s="29"/>
    </row>
    <row r="720">
      <c r="B720" s="28"/>
      <c r="C720" s="29"/>
    </row>
    <row r="721">
      <c r="B721" s="28"/>
      <c r="C721" s="29"/>
    </row>
    <row r="722">
      <c r="B722" s="28"/>
      <c r="C722" s="29"/>
    </row>
    <row r="723">
      <c r="B723" s="28"/>
      <c r="C723" s="29"/>
    </row>
    <row r="724">
      <c r="B724" s="28"/>
      <c r="C724" s="29"/>
    </row>
    <row r="725">
      <c r="B725" s="28"/>
      <c r="C725" s="29"/>
    </row>
    <row r="726">
      <c r="B726" s="28"/>
      <c r="C726" s="29"/>
    </row>
    <row r="727">
      <c r="B727" s="28"/>
      <c r="C727" s="29"/>
    </row>
    <row r="728">
      <c r="B728" s="28"/>
      <c r="C728" s="29"/>
    </row>
    <row r="729">
      <c r="B729" s="28"/>
      <c r="C729" s="29"/>
    </row>
    <row r="730">
      <c r="B730" s="28"/>
      <c r="C730" s="29"/>
    </row>
    <row r="731">
      <c r="B731" s="28"/>
      <c r="C731" s="29"/>
    </row>
    <row r="732">
      <c r="B732" s="28"/>
      <c r="C732" s="29"/>
    </row>
    <row r="733">
      <c r="B733" s="28"/>
      <c r="C733" s="29"/>
    </row>
    <row r="734">
      <c r="B734" s="28"/>
      <c r="C734" s="29"/>
    </row>
    <row r="735">
      <c r="B735" s="28"/>
      <c r="C735" s="29"/>
    </row>
    <row r="736">
      <c r="B736" s="28"/>
      <c r="C736" s="29"/>
    </row>
    <row r="737">
      <c r="B737" s="28"/>
      <c r="C737" s="29"/>
    </row>
    <row r="738">
      <c r="B738" s="28"/>
      <c r="C738" s="29"/>
    </row>
    <row r="739">
      <c r="B739" s="28"/>
      <c r="C739" s="29"/>
    </row>
    <row r="740">
      <c r="B740" s="28"/>
      <c r="C740" s="29"/>
    </row>
    <row r="741">
      <c r="B741" s="28"/>
      <c r="C741" s="29"/>
    </row>
    <row r="742">
      <c r="B742" s="28"/>
      <c r="C742" s="29"/>
    </row>
    <row r="743">
      <c r="B743" s="28"/>
      <c r="C743" s="29"/>
    </row>
    <row r="744">
      <c r="B744" s="28"/>
      <c r="C744" s="29"/>
    </row>
    <row r="745">
      <c r="B745" s="28"/>
      <c r="C745" s="29"/>
    </row>
    <row r="746">
      <c r="B746" s="28"/>
      <c r="C746" s="29"/>
    </row>
    <row r="747">
      <c r="B747" s="28"/>
      <c r="C747" s="29"/>
    </row>
    <row r="748">
      <c r="B748" s="28"/>
      <c r="C748" s="29"/>
    </row>
    <row r="749">
      <c r="B749" s="28"/>
      <c r="C749" s="29"/>
    </row>
    <row r="750">
      <c r="B750" s="28"/>
      <c r="C750" s="29"/>
    </row>
    <row r="751">
      <c r="B751" s="28"/>
      <c r="C751" s="29"/>
    </row>
    <row r="752">
      <c r="B752" s="28"/>
      <c r="C752" s="29"/>
    </row>
    <row r="753">
      <c r="B753" s="28"/>
      <c r="C753" s="29"/>
    </row>
    <row r="754">
      <c r="B754" s="28"/>
      <c r="C754" s="29"/>
    </row>
    <row r="755">
      <c r="B755" s="28"/>
      <c r="C755" s="29"/>
    </row>
    <row r="756">
      <c r="B756" s="28"/>
      <c r="C756" s="29"/>
    </row>
    <row r="757">
      <c r="B757" s="28"/>
      <c r="C757" s="29"/>
    </row>
    <row r="758">
      <c r="B758" s="28"/>
      <c r="C758" s="29"/>
    </row>
    <row r="759">
      <c r="B759" s="28"/>
      <c r="C759" s="29"/>
    </row>
    <row r="760">
      <c r="B760" s="28"/>
      <c r="C760" s="29"/>
    </row>
    <row r="761">
      <c r="B761" s="28"/>
      <c r="C761" s="29"/>
    </row>
    <row r="762">
      <c r="B762" s="28"/>
      <c r="C762" s="29"/>
    </row>
    <row r="763">
      <c r="B763" s="28"/>
      <c r="C763" s="29"/>
    </row>
    <row r="764">
      <c r="B764" s="28"/>
      <c r="C764" s="29"/>
    </row>
    <row r="765">
      <c r="B765" s="28"/>
      <c r="C765" s="29"/>
    </row>
    <row r="766">
      <c r="B766" s="28"/>
      <c r="C766" s="29"/>
    </row>
    <row r="767">
      <c r="B767" s="28"/>
      <c r="C767" s="29"/>
    </row>
    <row r="768">
      <c r="B768" s="28"/>
      <c r="C768" s="29"/>
    </row>
    <row r="769">
      <c r="B769" s="28"/>
      <c r="C769" s="29"/>
    </row>
    <row r="770">
      <c r="B770" s="28"/>
      <c r="C770" s="29"/>
    </row>
    <row r="771">
      <c r="B771" s="28"/>
      <c r="C771" s="29"/>
    </row>
    <row r="772">
      <c r="B772" s="28"/>
      <c r="C772" s="29"/>
    </row>
    <row r="773">
      <c r="B773" s="28"/>
      <c r="C773" s="29"/>
    </row>
    <row r="774">
      <c r="B774" s="28"/>
      <c r="C774" s="29"/>
    </row>
    <row r="775">
      <c r="B775" s="28"/>
      <c r="C775" s="29"/>
    </row>
    <row r="776">
      <c r="B776" s="28"/>
      <c r="C776" s="29"/>
    </row>
    <row r="777">
      <c r="B777" s="28"/>
      <c r="C777" s="29"/>
    </row>
    <row r="778">
      <c r="B778" s="28"/>
      <c r="C778" s="29"/>
    </row>
    <row r="779">
      <c r="B779" s="28"/>
      <c r="C779" s="29"/>
    </row>
    <row r="780">
      <c r="B780" s="28"/>
      <c r="C780" s="29"/>
    </row>
    <row r="781">
      <c r="B781" s="28"/>
      <c r="C781" s="29"/>
    </row>
    <row r="782">
      <c r="B782" s="28"/>
      <c r="C782" s="29"/>
    </row>
    <row r="783">
      <c r="B783" s="28"/>
      <c r="C783" s="29"/>
    </row>
    <row r="784">
      <c r="B784" s="28"/>
      <c r="C784" s="29"/>
    </row>
    <row r="785">
      <c r="B785" s="28"/>
      <c r="C785" s="29"/>
    </row>
    <row r="786">
      <c r="B786" s="28"/>
      <c r="C786" s="29"/>
    </row>
    <row r="787">
      <c r="B787" s="28"/>
      <c r="C787" s="29"/>
    </row>
    <row r="788">
      <c r="B788" s="28"/>
      <c r="C788" s="29"/>
    </row>
    <row r="789">
      <c r="B789" s="28"/>
      <c r="C789" s="29"/>
    </row>
    <row r="790">
      <c r="B790" s="28"/>
      <c r="C790" s="29"/>
    </row>
    <row r="791">
      <c r="B791" s="28"/>
      <c r="C791" s="29"/>
    </row>
    <row r="792">
      <c r="B792" s="28"/>
      <c r="C792" s="29"/>
    </row>
    <row r="793">
      <c r="B793" s="28"/>
      <c r="C793" s="29"/>
    </row>
    <row r="794">
      <c r="B794" s="28"/>
      <c r="C794" s="29"/>
    </row>
    <row r="795">
      <c r="B795" s="28"/>
      <c r="C795" s="29"/>
    </row>
    <row r="796">
      <c r="B796" s="28"/>
      <c r="C796" s="29"/>
    </row>
    <row r="797">
      <c r="B797" s="28"/>
      <c r="C797" s="29"/>
    </row>
    <row r="798">
      <c r="B798" s="28"/>
      <c r="C798" s="29"/>
    </row>
    <row r="799">
      <c r="B799" s="28"/>
      <c r="C799" s="29"/>
    </row>
    <row r="800">
      <c r="B800" s="28"/>
      <c r="C800" s="29"/>
    </row>
    <row r="801">
      <c r="B801" s="28"/>
      <c r="C801" s="29"/>
    </row>
    <row r="802">
      <c r="B802" s="28"/>
      <c r="C802" s="29"/>
    </row>
    <row r="803">
      <c r="B803" s="28"/>
      <c r="C803" s="29"/>
    </row>
    <row r="804">
      <c r="B804" s="28"/>
      <c r="C804" s="29"/>
    </row>
    <row r="805">
      <c r="B805" s="28"/>
      <c r="C805" s="29"/>
    </row>
    <row r="806">
      <c r="B806" s="28"/>
      <c r="C806" s="29"/>
    </row>
    <row r="807">
      <c r="B807" s="28"/>
      <c r="C807" s="29"/>
    </row>
    <row r="808">
      <c r="B808" s="28"/>
      <c r="C808" s="29"/>
    </row>
    <row r="809">
      <c r="B809" s="28"/>
      <c r="C809" s="29"/>
    </row>
    <row r="810">
      <c r="B810" s="28"/>
      <c r="C810" s="29"/>
    </row>
    <row r="811">
      <c r="B811" s="28"/>
      <c r="C811" s="29"/>
    </row>
    <row r="812">
      <c r="B812" s="28"/>
      <c r="C812" s="29"/>
    </row>
    <row r="813">
      <c r="B813" s="28"/>
      <c r="C813" s="29"/>
    </row>
    <row r="814">
      <c r="B814" s="28"/>
      <c r="C814" s="29"/>
    </row>
    <row r="815">
      <c r="B815" s="28"/>
      <c r="C815" s="29"/>
    </row>
    <row r="816">
      <c r="B816" s="28"/>
      <c r="C816" s="29"/>
    </row>
    <row r="817">
      <c r="B817" s="28"/>
      <c r="C817" s="29"/>
    </row>
    <row r="818">
      <c r="B818" s="28"/>
      <c r="C818" s="29"/>
    </row>
    <row r="819">
      <c r="B819" s="28"/>
      <c r="C819" s="29"/>
    </row>
    <row r="820">
      <c r="B820" s="28"/>
      <c r="C820" s="29"/>
    </row>
    <row r="821">
      <c r="B821" s="28"/>
      <c r="C821" s="29"/>
    </row>
    <row r="822">
      <c r="B822" s="28"/>
      <c r="C822" s="29"/>
    </row>
    <row r="823">
      <c r="B823" s="28"/>
      <c r="C823" s="29"/>
    </row>
    <row r="824">
      <c r="B824" s="28"/>
      <c r="C824" s="29"/>
    </row>
    <row r="825">
      <c r="B825" s="28"/>
      <c r="C825" s="29"/>
    </row>
    <row r="826">
      <c r="B826" s="28"/>
      <c r="C826" s="29"/>
    </row>
    <row r="827">
      <c r="B827" s="28"/>
      <c r="C827" s="29"/>
    </row>
    <row r="828">
      <c r="B828" s="28"/>
      <c r="C828" s="29"/>
    </row>
    <row r="829">
      <c r="B829" s="28"/>
      <c r="C829" s="29"/>
    </row>
    <row r="830">
      <c r="B830" s="28"/>
      <c r="C830" s="29"/>
    </row>
    <row r="831">
      <c r="B831" s="28"/>
      <c r="C831" s="29"/>
    </row>
    <row r="832">
      <c r="B832" s="28"/>
      <c r="C832" s="29"/>
    </row>
    <row r="833">
      <c r="B833" s="28"/>
      <c r="C833" s="29"/>
    </row>
    <row r="834">
      <c r="B834" s="28"/>
      <c r="C834" s="29"/>
    </row>
    <row r="835">
      <c r="B835" s="28"/>
      <c r="C835" s="29"/>
    </row>
    <row r="836">
      <c r="B836" s="28"/>
      <c r="C836" s="29"/>
    </row>
    <row r="837">
      <c r="B837" s="28"/>
      <c r="C837" s="29"/>
    </row>
    <row r="838">
      <c r="B838" s="28"/>
      <c r="C838" s="29"/>
    </row>
    <row r="839">
      <c r="B839" s="28"/>
      <c r="C839" s="29"/>
    </row>
    <row r="840">
      <c r="B840" s="28"/>
      <c r="C840" s="29"/>
    </row>
    <row r="841">
      <c r="B841" s="28"/>
      <c r="C841" s="29"/>
    </row>
    <row r="842">
      <c r="B842" s="28"/>
      <c r="C842" s="29"/>
    </row>
    <row r="843">
      <c r="B843" s="28"/>
      <c r="C843" s="29"/>
    </row>
    <row r="844">
      <c r="B844" s="28"/>
      <c r="C844" s="29"/>
    </row>
    <row r="845">
      <c r="B845" s="28"/>
      <c r="C845" s="29"/>
    </row>
    <row r="846">
      <c r="B846" s="28"/>
      <c r="C846" s="29"/>
    </row>
    <row r="847">
      <c r="B847" s="28"/>
      <c r="C847" s="29"/>
    </row>
    <row r="848">
      <c r="B848" s="28"/>
      <c r="C848" s="29"/>
    </row>
    <row r="849">
      <c r="B849" s="28"/>
      <c r="C849" s="29"/>
    </row>
    <row r="850">
      <c r="B850" s="28"/>
      <c r="C850" s="29"/>
    </row>
    <row r="851">
      <c r="B851" s="28"/>
      <c r="C851" s="29"/>
    </row>
    <row r="852">
      <c r="B852" s="28"/>
      <c r="C852" s="29"/>
    </row>
    <row r="853">
      <c r="B853" s="28"/>
      <c r="C853" s="29"/>
    </row>
    <row r="854">
      <c r="B854" s="28"/>
      <c r="C854" s="29"/>
    </row>
    <row r="855">
      <c r="B855" s="28"/>
      <c r="C855" s="29"/>
    </row>
    <row r="856">
      <c r="B856" s="28"/>
      <c r="C856" s="29"/>
    </row>
    <row r="857">
      <c r="B857" s="28"/>
      <c r="C857" s="29"/>
    </row>
    <row r="858">
      <c r="B858" s="28"/>
      <c r="C858" s="29"/>
    </row>
    <row r="859">
      <c r="B859" s="28"/>
      <c r="C859" s="29"/>
    </row>
    <row r="860">
      <c r="B860" s="28"/>
      <c r="C860" s="29"/>
    </row>
    <row r="861">
      <c r="B861" s="28"/>
      <c r="C861" s="29"/>
    </row>
    <row r="862">
      <c r="B862" s="28"/>
      <c r="C862" s="29"/>
    </row>
    <row r="863">
      <c r="B863" s="28"/>
      <c r="C863" s="29"/>
    </row>
    <row r="864">
      <c r="B864" s="28"/>
      <c r="C864" s="29"/>
    </row>
    <row r="865">
      <c r="B865" s="28"/>
      <c r="C865" s="29"/>
    </row>
    <row r="866">
      <c r="B866" s="28"/>
      <c r="C866" s="29"/>
    </row>
    <row r="867">
      <c r="B867" s="28"/>
      <c r="C867" s="29"/>
    </row>
    <row r="868">
      <c r="B868" s="28"/>
      <c r="C868" s="29"/>
    </row>
    <row r="869">
      <c r="B869" s="28"/>
      <c r="C869" s="29"/>
    </row>
    <row r="870">
      <c r="B870" s="28"/>
      <c r="C870" s="29"/>
    </row>
    <row r="871">
      <c r="B871" s="28"/>
      <c r="C871" s="29"/>
    </row>
    <row r="872">
      <c r="B872" s="28"/>
      <c r="C872" s="29"/>
    </row>
    <row r="873">
      <c r="B873" s="28"/>
      <c r="C873" s="29"/>
    </row>
    <row r="874">
      <c r="B874" s="28"/>
      <c r="C874" s="29"/>
    </row>
    <row r="875">
      <c r="B875" s="28"/>
      <c r="C875" s="29"/>
    </row>
    <row r="876">
      <c r="B876" s="28"/>
      <c r="C876" s="29"/>
    </row>
    <row r="877">
      <c r="B877" s="28"/>
      <c r="C877" s="29"/>
    </row>
    <row r="878">
      <c r="B878" s="28"/>
      <c r="C878" s="29"/>
    </row>
    <row r="879">
      <c r="B879" s="28"/>
      <c r="C879" s="29"/>
    </row>
    <row r="880">
      <c r="B880" s="28"/>
      <c r="C880" s="29"/>
    </row>
    <row r="881">
      <c r="B881" s="28"/>
      <c r="C881" s="29"/>
    </row>
    <row r="882">
      <c r="B882" s="28"/>
      <c r="C882" s="29"/>
    </row>
    <row r="883">
      <c r="B883" s="28"/>
      <c r="C883" s="29"/>
    </row>
    <row r="884">
      <c r="B884" s="28"/>
      <c r="C884" s="29"/>
    </row>
    <row r="885">
      <c r="B885" s="28"/>
      <c r="C885" s="29"/>
    </row>
    <row r="886">
      <c r="B886" s="28"/>
      <c r="C886" s="29"/>
    </row>
    <row r="887">
      <c r="B887" s="28"/>
      <c r="C887" s="29"/>
    </row>
    <row r="888">
      <c r="B888" s="28"/>
      <c r="C888" s="29"/>
    </row>
    <row r="889">
      <c r="B889" s="28"/>
      <c r="C889" s="29"/>
    </row>
    <row r="890">
      <c r="B890" s="28"/>
      <c r="C890" s="29"/>
    </row>
    <row r="891">
      <c r="B891" s="28"/>
      <c r="C891" s="29"/>
    </row>
    <row r="892">
      <c r="B892" s="28"/>
      <c r="C892" s="29"/>
    </row>
    <row r="893">
      <c r="B893" s="28"/>
      <c r="C893" s="29"/>
    </row>
    <row r="894">
      <c r="B894" s="28"/>
      <c r="C894" s="29"/>
    </row>
    <row r="895">
      <c r="B895" s="28"/>
      <c r="C895" s="29"/>
    </row>
    <row r="896">
      <c r="B896" s="28"/>
      <c r="C896" s="29"/>
    </row>
    <row r="897">
      <c r="B897" s="28"/>
      <c r="C897" s="29"/>
    </row>
    <row r="898">
      <c r="B898" s="28"/>
      <c r="C898" s="29"/>
    </row>
    <row r="899">
      <c r="B899" s="28"/>
      <c r="C899" s="29"/>
    </row>
    <row r="900">
      <c r="B900" s="28"/>
      <c r="C900" s="29"/>
    </row>
    <row r="901">
      <c r="B901" s="28"/>
      <c r="C901" s="29"/>
    </row>
    <row r="902">
      <c r="B902" s="28"/>
      <c r="C902" s="29"/>
    </row>
    <row r="903">
      <c r="B903" s="28"/>
      <c r="C903" s="29"/>
    </row>
    <row r="904">
      <c r="B904" s="28"/>
      <c r="C904" s="29"/>
    </row>
    <row r="905">
      <c r="B905" s="28"/>
      <c r="C905" s="29"/>
    </row>
    <row r="906">
      <c r="B906" s="28"/>
      <c r="C906" s="29"/>
    </row>
    <row r="907">
      <c r="B907" s="28"/>
      <c r="C907" s="29"/>
    </row>
    <row r="908">
      <c r="B908" s="28"/>
      <c r="C908" s="29"/>
    </row>
    <row r="909">
      <c r="B909" s="28"/>
      <c r="C909" s="29"/>
    </row>
    <row r="910">
      <c r="B910" s="28"/>
      <c r="C910" s="29"/>
    </row>
    <row r="911">
      <c r="B911" s="28"/>
      <c r="C911" s="29"/>
    </row>
    <row r="912">
      <c r="B912" s="28"/>
      <c r="C912" s="29"/>
    </row>
    <row r="913">
      <c r="B913" s="28"/>
      <c r="C913" s="29"/>
    </row>
    <row r="914">
      <c r="B914" s="28"/>
      <c r="C914" s="29"/>
    </row>
    <row r="915">
      <c r="B915" s="28"/>
      <c r="C915" s="29"/>
    </row>
    <row r="916">
      <c r="B916" s="28"/>
      <c r="C916" s="29"/>
    </row>
    <row r="917">
      <c r="B917" s="28"/>
      <c r="C917" s="29"/>
    </row>
    <row r="918">
      <c r="B918" s="28"/>
      <c r="C918" s="29"/>
    </row>
    <row r="919">
      <c r="B919" s="28"/>
      <c r="C919" s="29"/>
    </row>
    <row r="920">
      <c r="B920" s="28"/>
      <c r="C920" s="29"/>
    </row>
    <row r="921">
      <c r="B921" s="28"/>
      <c r="C921" s="29"/>
    </row>
    <row r="922">
      <c r="B922" s="28"/>
      <c r="C922" s="29"/>
    </row>
    <row r="923">
      <c r="B923" s="28"/>
      <c r="C923" s="29"/>
    </row>
    <row r="924">
      <c r="B924" s="28"/>
      <c r="C924" s="29"/>
    </row>
    <row r="925">
      <c r="B925" s="28"/>
      <c r="C925" s="29"/>
    </row>
    <row r="926">
      <c r="B926" s="28"/>
      <c r="C926" s="29"/>
    </row>
    <row r="927">
      <c r="B927" s="28"/>
      <c r="C927" s="29"/>
    </row>
    <row r="928">
      <c r="B928" s="28"/>
      <c r="C928" s="29"/>
    </row>
    <row r="929">
      <c r="B929" s="28"/>
      <c r="C929" s="29"/>
    </row>
    <row r="930">
      <c r="B930" s="28"/>
      <c r="C930" s="29"/>
    </row>
    <row r="931">
      <c r="B931" s="28"/>
      <c r="C931" s="29"/>
    </row>
    <row r="932">
      <c r="B932" s="28"/>
      <c r="C932" s="29"/>
    </row>
    <row r="933">
      <c r="B933" s="28"/>
      <c r="C933" s="29"/>
    </row>
    <row r="934">
      <c r="B934" s="28"/>
      <c r="C934" s="29"/>
    </row>
    <row r="935">
      <c r="B935" s="28"/>
      <c r="C935" s="29"/>
    </row>
    <row r="936">
      <c r="B936" s="28"/>
      <c r="C936" s="29"/>
    </row>
    <row r="937">
      <c r="B937" s="28"/>
      <c r="C937" s="29"/>
    </row>
    <row r="938">
      <c r="B938" s="28"/>
      <c r="C938" s="29"/>
    </row>
    <row r="939">
      <c r="B939" s="28"/>
      <c r="C939" s="29"/>
    </row>
    <row r="940">
      <c r="B940" s="28"/>
      <c r="C940" s="29"/>
    </row>
    <row r="941">
      <c r="B941" s="28"/>
      <c r="C941" s="29"/>
    </row>
    <row r="942">
      <c r="B942" s="28"/>
      <c r="C942" s="29"/>
    </row>
    <row r="943">
      <c r="B943" s="28"/>
      <c r="C943" s="29"/>
    </row>
    <row r="944">
      <c r="B944" s="28"/>
      <c r="C944" s="29"/>
    </row>
    <row r="945">
      <c r="B945" s="28"/>
      <c r="C945" s="29"/>
    </row>
    <row r="946">
      <c r="B946" s="28"/>
      <c r="C946" s="29"/>
    </row>
    <row r="947">
      <c r="B947" s="28"/>
      <c r="C947" s="29"/>
    </row>
    <row r="948">
      <c r="B948" s="28"/>
      <c r="C948" s="29"/>
    </row>
    <row r="949">
      <c r="B949" s="28"/>
      <c r="C949" s="29"/>
    </row>
    <row r="950">
      <c r="B950" s="28"/>
      <c r="C950" s="29"/>
    </row>
    <row r="951">
      <c r="B951" s="28"/>
      <c r="C951" s="29"/>
    </row>
    <row r="952">
      <c r="B952" s="28"/>
      <c r="C952" s="29"/>
    </row>
    <row r="953">
      <c r="B953" s="28"/>
      <c r="C953" s="29"/>
    </row>
    <row r="954">
      <c r="B954" s="28"/>
      <c r="C954" s="29"/>
    </row>
    <row r="955">
      <c r="B955" s="28"/>
      <c r="C955" s="29"/>
    </row>
    <row r="956">
      <c r="B956" s="28"/>
      <c r="C956" s="29"/>
    </row>
    <row r="957">
      <c r="B957" s="28"/>
      <c r="C957" s="29"/>
    </row>
    <row r="958">
      <c r="B958" s="28"/>
      <c r="C958" s="29"/>
    </row>
    <row r="959">
      <c r="B959" s="28"/>
      <c r="C959" s="29"/>
    </row>
    <row r="960">
      <c r="B960" s="28"/>
      <c r="C960" s="29"/>
    </row>
    <row r="961">
      <c r="B961" s="28"/>
      <c r="C961" s="29"/>
    </row>
    <row r="962">
      <c r="B962" s="28"/>
      <c r="C962" s="29"/>
    </row>
    <row r="963">
      <c r="B963" s="28"/>
      <c r="C963" s="29"/>
    </row>
    <row r="964">
      <c r="B964" s="28"/>
      <c r="C964" s="29"/>
    </row>
    <row r="965">
      <c r="B965" s="28"/>
      <c r="C965" s="29"/>
    </row>
    <row r="966">
      <c r="B966" s="28"/>
      <c r="C966" s="29"/>
    </row>
    <row r="967">
      <c r="B967" s="28"/>
      <c r="C967" s="29"/>
    </row>
    <row r="968">
      <c r="B968" s="28"/>
      <c r="C968" s="29"/>
    </row>
    <row r="969">
      <c r="B969" s="28"/>
      <c r="C969" s="29"/>
    </row>
    <row r="970">
      <c r="B970" s="28"/>
      <c r="C970" s="29"/>
    </row>
    <row r="971">
      <c r="B971" s="28"/>
      <c r="C971" s="29"/>
    </row>
    <row r="972">
      <c r="B972" s="28"/>
      <c r="C972" s="29"/>
    </row>
    <row r="973">
      <c r="B973" s="28"/>
      <c r="C973" s="29"/>
    </row>
    <row r="974">
      <c r="B974" s="28"/>
      <c r="C974" s="29"/>
    </row>
    <row r="975">
      <c r="B975" s="28"/>
      <c r="C975" s="29"/>
    </row>
    <row r="976">
      <c r="B976" s="28"/>
      <c r="C976" s="29"/>
    </row>
    <row r="977">
      <c r="B977" s="28"/>
      <c r="C977" s="29"/>
    </row>
    <row r="978">
      <c r="B978" s="28"/>
      <c r="C978" s="29"/>
    </row>
    <row r="979">
      <c r="B979" s="28"/>
      <c r="C979" s="29"/>
    </row>
    <row r="980">
      <c r="B980" s="28"/>
      <c r="C980" s="29"/>
    </row>
    <row r="981">
      <c r="B981" s="28"/>
      <c r="C981" s="29"/>
    </row>
    <row r="982">
      <c r="B982" s="28"/>
      <c r="C982" s="29"/>
    </row>
    <row r="983">
      <c r="B983" s="28"/>
      <c r="C983" s="29"/>
    </row>
    <row r="984">
      <c r="B984" s="28"/>
      <c r="C984" s="29"/>
    </row>
    <row r="985">
      <c r="B985" s="28"/>
      <c r="C985" s="29"/>
    </row>
    <row r="986">
      <c r="B986" s="28"/>
      <c r="C986" s="29"/>
    </row>
    <row r="987">
      <c r="B987" s="28"/>
      <c r="C987" s="29"/>
    </row>
    <row r="988">
      <c r="B988" s="28"/>
      <c r="C988" s="29"/>
    </row>
    <row r="989">
      <c r="B989" s="28"/>
      <c r="C989" s="29"/>
    </row>
    <row r="990">
      <c r="B990" s="28"/>
      <c r="C990" s="29"/>
    </row>
    <row r="991">
      <c r="B991" s="28"/>
      <c r="C991" s="29"/>
    </row>
    <row r="992">
      <c r="B992" s="28"/>
      <c r="C992" s="29"/>
    </row>
    <row r="993">
      <c r="B993" s="28"/>
      <c r="C993" s="29"/>
    </row>
    <row r="994">
      <c r="B994" s="28"/>
      <c r="C994" s="29"/>
    </row>
    <row r="995">
      <c r="B995" s="28"/>
      <c r="C995" s="29"/>
    </row>
    <row r="996">
      <c r="B996" s="28"/>
      <c r="C996" s="29"/>
    </row>
    <row r="997">
      <c r="B997" s="28"/>
      <c r="C997" s="29"/>
    </row>
    <row r="998">
      <c r="B998" s="28"/>
      <c r="C998" s="29"/>
    </row>
    <row r="999">
      <c r="B999" s="28"/>
      <c r="C999" s="29"/>
    </row>
    <row r="1000">
      <c r="B1000" s="28"/>
      <c r="C1000" s="2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" t="s">
        <v>98</v>
      </c>
      <c r="B1" s="16" t="s">
        <v>99</v>
      </c>
      <c r="C1" s="16" t="s">
        <v>100</v>
      </c>
      <c r="D1" s="16" t="s">
        <v>101</v>
      </c>
      <c r="E1" s="16" t="s">
        <v>102</v>
      </c>
      <c r="F1" s="16" t="s">
        <v>103</v>
      </c>
      <c r="G1" s="16" t="s">
        <v>104</v>
      </c>
      <c r="H1" s="16" t="s">
        <v>105</v>
      </c>
      <c r="I1" s="16" t="s">
        <v>106</v>
      </c>
      <c r="J1" s="16" t="s">
        <v>107</v>
      </c>
    </row>
    <row r="2">
      <c r="A2" s="16" t="s">
        <v>108</v>
      </c>
      <c r="B2" s="16" t="s">
        <v>109</v>
      </c>
      <c r="C2" s="16" t="s">
        <v>110</v>
      </c>
      <c r="D2" s="16" t="s">
        <v>111</v>
      </c>
      <c r="E2" s="16" t="s">
        <v>112</v>
      </c>
      <c r="F2" s="17">
        <v>27.0</v>
      </c>
      <c r="G2" s="16" t="b">
        <v>1</v>
      </c>
      <c r="H2" s="16" t="b">
        <v>1</v>
      </c>
      <c r="I2" s="16" t="b">
        <v>1</v>
      </c>
      <c r="J2" s="16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6" t="s">
        <v>113</v>
      </c>
      <c r="B1" s="16" t="s">
        <v>114</v>
      </c>
      <c r="C1" s="16" t="s">
        <v>115</v>
      </c>
      <c r="D1" s="16" t="s">
        <v>116</v>
      </c>
      <c r="E1" s="16" t="s">
        <v>117</v>
      </c>
      <c r="F1" s="16" t="s">
        <v>118</v>
      </c>
      <c r="G1" s="16" t="s">
        <v>119</v>
      </c>
      <c r="H1" s="16" t="s">
        <v>120</v>
      </c>
      <c r="I1" s="16" t="s">
        <v>121</v>
      </c>
      <c r="J1" s="16" t="s">
        <v>122</v>
      </c>
      <c r="K1" s="16" t="s">
        <v>123</v>
      </c>
      <c r="L1" s="16" t="s">
        <v>124</v>
      </c>
      <c r="M1" s="16" t="s">
        <v>125</v>
      </c>
    </row>
    <row r="2">
      <c r="A2" s="16" t="s">
        <v>126</v>
      </c>
      <c r="B2" s="30">
        <v>46044.00070440972</v>
      </c>
      <c r="C2" s="16" t="s">
        <v>127</v>
      </c>
      <c r="D2" s="23" t="s">
        <v>128</v>
      </c>
      <c r="E2" s="17">
        <v>4.0</v>
      </c>
    </row>
    <row r="3">
      <c r="A3" s="16" t="s">
        <v>129</v>
      </c>
      <c r="B3" s="30">
        <v>46044.0007044213</v>
      </c>
      <c r="C3" s="16" t="s">
        <v>127</v>
      </c>
      <c r="D3" s="23" t="s">
        <v>128</v>
      </c>
      <c r="E3" s="17">
        <v>4.0</v>
      </c>
    </row>
    <row r="4">
      <c r="A4" s="16" t="s">
        <v>130</v>
      </c>
      <c r="B4" s="30">
        <v>46044.0007044213</v>
      </c>
      <c r="C4" s="16" t="s">
        <v>127</v>
      </c>
      <c r="D4" s="23" t="s">
        <v>128</v>
      </c>
      <c r="E4" s="17">
        <v>4.0</v>
      </c>
    </row>
    <row r="5">
      <c r="A5" s="16" t="s">
        <v>131</v>
      </c>
      <c r="B5" s="30">
        <v>46044.0007044213</v>
      </c>
      <c r="C5" s="16" t="s">
        <v>127</v>
      </c>
      <c r="D5" s="23" t="s">
        <v>128</v>
      </c>
      <c r="E5" s="17">
        <v>4.0</v>
      </c>
    </row>
    <row r="6">
      <c r="A6" s="16" t="s">
        <v>132</v>
      </c>
      <c r="B6" s="30">
        <v>46044.0007044213</v>
      </c>
      <c r="C6" s="16" t="s">
        <v>127</v>
      </c>
      <c r="D6" s="23" t="s">
        <v>128</v>
      </c>
      <c r="E6" s="17">
        <v>4.0</v>
      </c>
    </row>
    <row r="7">
      <c r="A7" s="16" t="s">
        <v>133</v>
      </c>
      <c r="B7" s="30">
        <v>46044.0007044213</v>
      </c>
      <c r="C7" s="16" t="s">
        <v>127</v>
      </c>
      <c r="D7" s="23" t="s">
        <v>128</v>
      </c>
      <c r="E7" s="17">
        <v>4.0</v>
      </c>
    </row>
    <row r="8">
      <c r="A8" s="16" t="s">
        <v>134</v>
      </c>
      <c r="B8" s="30">
        <v>46044.0007044213</v>
      </c>
      <c r="C8" s="16" t="s">
        <v>127</v>
      </c>
      <c r="D8" s="23" t="s">
        <v>128</v>
      </c>
      <c r="E8" s="17">
        <v>4.0</v>
      </c>
    </row>
    <row r="9">
      <c r="A9" s="16" t="s">
        <v>135</v>
      </c>
      <c r="B9" s="30">
        <v>46044.0007044213</v>
      </c>
      <c r="C9" s="16" t="s">
        <v>127</v>
      </c>
      <c r="D9" s="23" t="s">
        <v>128</v>
      </c>
      <c r="E9" s="17">
        <v>4.0</v>
      </c>
    </row>
    <row r="10">
      <c r="A10" s="16" t="s">
        <v>136</v>
      </c>
      <c r="B10" s="30">
        <v>46044.0007044213</v>
      </c>
      <c r="C10" s="16" t="s">
        <v>127</v>
      </c>
      <c r="D10" s="23" t="s">
        <v>128</v>
      </c>
      <c r="E10" s="17">
        <v>4.0</v>
      </c>
    </row>
    <row r="11">
      <c r="A11" s="16" t="s">
        <v>137</v>
      </c>
      <c r="B11" s="30">
        <v>46044.0007044213</v>
      </c>
      <c r="C11" s="16" t="s">
        <v>127</v>
      </c>
      <c r="D11" s="23" t="s">
        <v>128</v>
      </c>
      <c r="E11" s="17">
        <v>4.0</v>
      </c>
    </row>
    <row r="12">
      <c r="A12" s="16" t="s">
        <v>138</v>
      </c>
      <c r="B12" s="30">
        <v>46044.0007044213</v>
      </c>
      <c r="C12" s="16" t="s">
        <v>127</v>
      </c>
      <c r="D12" s="23" t="s">
        <v>128</v>
      </c>
      <c r="E12" s="17">
        <v>4.0</v>
      </c>
    </row>
    <row r="13">
      <c r="A13" s="16" t="s">
        <v>139</v>
      </c>
      <c r="B13" s="30">
        <v>46044.0007044213</v>
      </c>
      <c r="C13" s="16" t="s">
        <v>127</v>
      </c>
      <c r="D13" s="23" t="s">
        <v>128</v>
      </c>
      <c r="E13" s="17">
        <v>4.0</v>
      </c>
    </row>
    <row r="14">
      <c r="A14" s="16" t="s">
        <v>140</v>
      </c>
      <c r="B14" s="30">
        <v>46044.0007044213</v>
      </c>
      <c r="C14" s="16" t="s">
        <v>127</v>
      </c>
      <c r="D14" s="23" t="s">
        <v>128</v>
      </c>
      <c r="E14" s="17">
        <v>4.0</v>
      </c>
    </row>
    <row r="15">
      <c r="A15" s="16" t="s">
        <v>141</v>
      </c>
      <c r="B15" s="30">
        <v>46044.0007044213</v>
      </c>
      <c r="C15" s="16" t="s">
        <v>127</v>
      </c>
      <c r="D15" s="23" t="s">
        <v>128</v>
      </c>
      <c r="E15" s="17">
        <v>4.0</v>
      </c>
    </row>
    <row r="16">
      <c r="A16" s="16" t="s">
        <v>142</v>
      </c>
      <c r="B16" s="30">
        <v>46044.0007044213</v>
      </c>
      <c r="C16" s="16" t="s">
        <v>127</v>
      </c>
      <c r="D16" s="23" t="s">
        <v>128</v>
      </c>
      <c r="E16" s="17">
        <v>4.0</v>
      </c>
    </row>
    <row r="17">
      <c r="A17" s="16" t="s">
        <v>143</v>
      </c>
      <c r="B17" s="30">
        <v>46044.0007044213</v>
      </c>
      <c r="C17" s="16" t="s">
        <v>127</v>
      </c>
      <c r="D17" s="23" t="s">
        <v>128</v>
      </c>
      <c r="E17" s="17">
        <v>4.0</v>
      </c>
    </row>
    <row r="18">
      <c r="A18" s="16" t="s">
        <v>144</v>
      </c>
      <c r="B18" s="30">
        <v>46044.0007044213</v>
      </c>
      <c r="C18" s="16" t="s">
        <v>127</v>
      </c>
      <c r="D18" s="23" t="s">
        <v>128</v>
      </c>
      <c r="E18" s="17">
        <v>4.0</v>
      </c>
    </row>
    <row r="19">
      <c r="A19" s="16" t="s">
        <v>145</v>
      </c>
      <c r="B19" s="30">
        <v>46044.0007044213</v>
      </c>
      <c r="C19" s="16" t="s">
        <v>127</v>
      </c>
      <c r="D19" s="23" t="s">
        <v>128</v>
      </c>
      <c r="E19" s="17">
        <v>4.0</v>
      </c>
    </row>
    <row r="20">
      <c r="A20" s="16" t="s">
        <v>146</v>
      </c>
      <c r="B20" s="30">
        <v>46044.0007044213</v>
      </c>
      <c r="C20" s="16" t="s">
        <v>127</v>
      </c>
      <c r="D20" s="23" t="s">
        <v>128</v>
      </c>
      <c r="E20" s="17">
        <v>4.0</v>
      </c>
    </row>
    <row r="21">
      <c r="A21" s="16" t="s">
        <v>147</v>
      </c>
      <c r="B21" s="30">
        <v>46044.0007044213</v>
      </c>
      <c r="C21" s="16" t="s">
        <v>127</v>
      </c>
      <c r="D21" s="23" t="s">
        <v>128</v>
      </c>
      <c r="E21" s="17">
        <v>4.0</v>
      </c>
    </row>
    <row r="22">
      <c r="A22" s="16" t="s">
        <v>148</v>
      </c>
      <c r="B22" s="30">
        <v>46044.0007044213</v>
      </c>
      <c r="C22" s="16" t="s">
        <v>127</v>
      </c>
      <c r="D22" s="23" t="s">
        <v>128</v>
      </c>
      <c r="E22" s="17">
        <v>4.0</v>
      </c>
    </row>
    <row r="23">
      <c r="A23" s="16" t="s">
        <v>149</v>
      </c>
      <c r="B23" s="30">
        <v>46044.0007044213</v>
      </c>
      <c r="C23" s="16" t="s">
        <v>127</v>
      </c>
      <c r="D23" s="23" t="s">
        <v>128</v>
      </c>
      <c r="E23" s="17">
        <v>4.0</v>
      </c>
    </row>
    <row r="24">
      <c r="A24" s="16" t="s">
        <v>150</v>
      </c>
      <c r="B24" s="30">
        <v>46044.0007044213</v>
      </c>
      <c r="C24" s="16" t="s">
        <v>127</v>
      </c>
      <c r="D24" s="23" t="s">
        <v>128</v>
      </c>
      <c r="E24" s="17">
        <v>4.0</v>
      </c>
    </row>
    <row r="25">
      <c r="A25" s="16" t="s">
        <v>151</v>
      </c>
      <c r="B25" s="30">
        <v>46044.0007044213</v>
      </c>
      <c r="C25" s="16" t="s">
        <v>127</v>
      </c>
      <c r="D25" s="23" t="s">
        <v>128</v>
      </c>
      <c r="E25" s="17">
        <v>4.0</v>
      </c>
    </row>
    <row r="26">
      <c r="A26" s="16" t="s">
        <v>152</v>
      </c>
      <c r="B26" s="30">
        <v>46044.0007044213</v>
      </c>
      <c r="C26" s="16" t="s">
        <v>127</v>
      </c>
      <c r="D26" s="23" t="s">
        <v>128</v>
      </c>
      <c r="E26" s="17">
        <v>4.0</v>
      </c>
    </row>
    <row r="27">
      <c r="A27" s="16" t="s">
        <v>153</v>
      </c>
      <c r="B27" s="30">
        <v>46044.0007044213</v>
      </c>
      <c r="C27" s="16" t="s">
        <v>127</v>
      </c>
      <c r="D27" s="23" t="s">
        <v>128</v>
      </c>
      <c r="E27" s="17">
        <v>4.0</v>
      </c>
    </row>
    <row r="28">
      <c r="A28" s="16" t="s">
        <v>154</v>
      </c>
      <c r="B28" s="30">
        <v>46044.0007044213</v>
      </c>
      <c r="C28" s="16" t="s">
        <v>127</v>
      </c>
      <c r="D28" s="23" t="s">
        <v>128</v>
      </c>
      <c r="E28" s="17">
        <v>4.0</v>
      </c>
    </row>
    <row r="29">
      <c r="A29" s="16" t="s">
        <v>155</v>
      </c>
      <c r="B29" s="30">
        <v>46044.0007044213</v>
      </c>
      <c r="C29" s="16" t="s">
        <v>127</v>
      </c>
      <c r="D29" s="23" t="s">
        <v>128</v>
      </c>
      <c r="E29" s="17">
        <v>4.0</v>
      </c>
    </row>
    <row r="30">
      <c r="A30" s="16" t="s">
        <v>156</v>
      </c>
      <c r="B30" s="30">
        <v>46044.0007044213</v>
      </c>
      <c r="C30" s="16" t="s">
        <v>127</v>
      </c>
      <c r="D30" s="23" t="s">
        <v>128</v>
      </c>
      <c r="E30" s="17">
        <v>4.0</v>
      </c>
    </row>
    <row r="31">
      <c r="A31" s="16" t="s">
        <v>157</v>
      </c>
      <c r="B31" s="30">
        <v>46044.0007044213</v>
      </c>
      <c r="C31" s="16" t="s">
        <v>127</v>
      </c>
      <c r="D31" s="23" t="s">
        <v>128</v>
      </c>
      <c r="E31" s="17">
        <v>4.0</v>
      </c>
    </row>
    <row r="32">
      <c r="A32" s="16" t="s">
        <v>158</v>
      </c>
      <c r="B32" s="30">
        <v>46044.0007044213</v>
      </c>
      <c r="C32" s="16" t="s">
        <v>127</v>
      </c>
      <c r="D32" s="23" t="s">
        <v>128</v>
      </c>
      <c r="E32" s="17">
        <v>4.0</v>
      </c>
    </row>
    <row r="33">
      <c r="A33" s="16" t="s">
        <v>159</v>
      </c>
      <c r="B33" s="30">
        <v>46044.0007044213</v>
      </c>
      <c r="C33" s="16" t="s">
        <v>127</v>
      </c>
      <c r="D33" s="23" t="s">
        <v>128</v>
      </c>
      <c r="E33" s="17">
        <v>4.0</v>
      </c>
    </row>
    <row r="34">
      <c r="A34" s="16" t="s">
        <v>160</v>
      </c>
      <c r="B34" s="30">
        <v>46044.0007044213</v>
      </c>
      <c r="C34" s="16" t="s">
        <v>127</v>
      </c>
      <c r="D34" s="23" t="s">
        <v>128</v>
      </c>
      <c r="E34" s="17">
        <v>4.0</v>
      </c>
    </row>
    <row r="35">
      <c r="A35" s="16" t="s">
        <v>161</v>
      </c>
      <c r="B35" s="30">
        <v>46044.0007044213</v>
      </c>
      <c r="C35" s="16" t="s">
        <v>127</v>
      </c>
      <c r="D35" s="23" t="s">
        <v>128</v>
      </c>
      <c r="E35" s="17">
        <v>4.0</v>
      </c>
    </row>
    <row r="36">
      <c r="A36" s="16" t="s">
        <v>162</v>
      </c>
      <c r="B36" s="30">
        <v>46044.0007044213</v>
      </c>
      <c r="C36" s="16" t="s">
        <v>127</v>
      </c>
      <c r="D36" s="23" t="s">
        <v>128</v>
      </c>
      <c r="E36" s="17">
        <v>4.0</v>
      </c>
    </row>
    <row r="37">
      <c r="A37" s="16" t="s">
        <v>163</v>
      </c>
      <c r="B37" s="30">
        <v>46044.0007044213</v>
      </c>
      <c r="C37" s="16" t="s">
        <v>127</v>
      </c>
      <c r="D37" s="23" t="s">
        <v>128</v>
      </c>
      <c r="E37" s="17">
        <v>4.0</v>
      </c>
    </row>
    <row r="38">
      <c r="A38" s="16" t="s">
        <v>164</v>
      </c>
      <c r="B38" s="30">
        <v>46044.0007044213</v>
      </c>
      <c r="C38" s="16" t="s">
        <v>127</v>
      </c>
      <c r="D38" s="23" t="s">
        <v>128</v>
      </c>
      <c r="E38" s="17">
        <v>4.0</v>
      </c>
    </row>
    <row r="39">
      <c r="A39" s="16" t="s">
        <v>165</v>
      </c>
      <c r="B39" s="30">
        <v>46044.0007044213</v>
      </c>
      <c r="C39" s="16" t="s">
        <v>127</v>
      </c>
      <c r="D39" s="23" t="s">
        <v>128</v>
      </c>
      <c r="E39" s="17">
        <v>4.0</v>
      </c>
    </row>
    <row r="40">
      <c r="A40" s="16" t="s">
        <v>166</v>
      </c>
      <c r="B40" s="30">
        <v>46044.0007044213</v>
      </c>
      <c r="C40" s="16" t="s">
        <v>127</v>
      </c>
      <c r="D40" s="23" t="s">
        <v>128</v>
      </c>
      <c r="E40" s="17">
        <v>4.0</v>
      </c>
    </row>
    <row r="41">
      <c r="A41" s="16" t="s">
        <v>167</v>
      </c>
      <c r="B41" s="30">
        <v>46044.0007044213</v>
      </c>
      <c r="C41" s="16" t="s">
        <v>127</v>
      </c>
      <c r="D41" s="23" t="s">
        <v>128</v>
      </c>
      <c r="E41" s="17">
        <v>4.0</v>
      </c>
    </row>
    <row r="42">
      <c r="A42" s="16" t="s">
        <v>168</v>
      </c>
      <c r="B42" s="30">
        <v>46044.0007044213</v>
      </c>
      <c r="C42" s="16" t="s">
        <v>127</v>
      </c>
      <c r="D42" s="23" t="s">
        <v>128</v>
      </c>
      <c r="E42" s="17">
        <v>4.0</v>
      </c>
    </row>
    <row r="43">
      <c r="A43" s="16" t="s">
        <v>169</v>
      </c>
      <c r="B43" s="30">
        <v>46044.0007044213</v>
      </c>
      <c r="C43" s="16" t="s">
        <v>127</v>
      </c>
      <c r="D43" s="23" t="s">
        <v>128</v>
      </c>
      <c r="E43" s="17">
        <v>4.0</v>
      </c>
    </row>
    <row r="44">
      <c r="A44" s="16" t="s">
        <v>170</v>
      </c>
      <c r="B44" s="30">
        <v>46044.0007044213</v>
      </c>
      <c r="C44" s="16" t="s">
        <v>127</v>
      </c>
      <c r="D44" s="23" t="s">
        <v>128</v>
      </c>
      <c r="E44" s="17">
        <v>4.0</v>
      </c>
    </row>
    <row r="45">
      <c r="A45" s="16" t="s">
        <v>171</v>
      </c>
      <c r="B45" s="30">
        <v>46044.0007044213</v>
      </c>
      <c r="C45" s="16" t="s">
        <v>127</v>
      </c>
      <c r="D45" s="23" t="s">
        <v>128</v>
      </c>
      <c r="E45" s="17">
        <v>4.0</v>
      </c>
    </row>
    <row r="46">
      <c r="A46" s="16" t="s">
        <v>172</v>
      </c>
      <c r="B46" s="30">
        <v>46044.0007044213</v>
      </c>
      <c r="C46" s="16" t="s">
        <v>127</v>
      </c>
      <c r="D46" s="23" t="s">
        <v>128</v>
      </c>
      <c r="E46" s="17">
        <v>4.0</v>
      </c>
    </row>
    <row r="47">
      <c r="A47" s="16" t="s">
        <v>173</v>
      </c>
      <c r="B47" s="30">
        <v>46044.0007044213</v>
      </c>
      <c r="C47" s="16" t="s">
        <v>127</v>
      </c>
      <c r="D47" s="23" t="s">
        <v>128</v>
      </c>
      <c r="E47" s="17">
        <v>4.0</v>
      </c>
    </row>
    <row r="48">
      <c r="A48" s="16" t="s">
        <v>174</v>
      </c>
      <c r="B48" s="30">
        <v>46044.0007044213</v>
      </c>
      <c r="C48" s="16" t="s">
        <v>127</v>
      </c>
      <c r="D48" s="23" t="s">
        <v>128</v>
      </c>
      <c r="E48" s="17">
        <v>4.0</v>
      </c>
    </row>
    <row r="49">
      <c r="A49" s="16" t="s">
        <v>175</v>
      </c>
      <c r="B49" s="30">
        <v>46044.0007044213</v>
      </c>
      <c r="C49" s="16" t="s">
        <v>127</v>
      </c>
      <c r="D49" s="23" t="s">
        <v>128</v>
      </c>
      <c r="E49" s="17">
        <v>4.0</v>
      </c>
    </row>
    <row r="50">
      <c r="A50" s="16" t="s">
        <v>176</v>
      </c>
      <c r="B50" s="30">
        <v>46044.0007044213</v>
      </c>
      <c r="C50" s="16" t="s">
        <v>127</v>
      </c>
      <c r="D50" s="23" t="s">
        <v>128</v>
      </c>
      <c r="E50" s="17">
        <v>4.0</v>
      </c>
    </row>
    <row r="51">
      <c r="A51" s="16" t="s">
        <v>177</v>
      </c>
      <c r="B51" s="30">
        <v>46044.0007044213</v>
      </c>
      <c r="C51" s="16" t="s">
        <v>127</v>
      </c>
      <c r="D51" s="23" t="s">
        <v>128</v>
      </c>
      <c r="E51" s="17">
        <v>4.0</v>
      </c>
    </row>
    <row r="52">
      <c r="A52" s="16" t="s">
        <v>178</v>
      </c>
      <c r="B52" s="30">
        <v>46044.0007044213</v>
      </c>
      <c r="C52" s="16" t="s">
        <v>127</v>
      </c>
      <c r="D52" s="23" t="s">
        <v>128</v>
      </c>
      <c r="E52" s="17">
        <v>4.0</v>
      </c>
    </row>
    <row r="53">
      <c r="A53" s="16" t="s">
        <v>179</v>
      </c>
      <c r="B53" s="30">
        <v>46044.0007044213</v>
      </c>
      <c r="C53" s="16" t="s">
        <v>127</v>
      </c>
      <c r="D53" s="23" t="s">
        <v>128</v>
      </c>
      <c r="E53" s="17">
        <v>4.0</v>
      </c>
    </row>
    <row r="54">
      <c r="A54" s="16" t="s">
        <v>180</v>
      </c>
      <c r="B54" s="30">
        <v>46044.0007044213</v>
      </c>
      <c r="C54" s="16" t="s">
        <v>127</v>
      </c>
      <c r="D54" s="23" t="s">
        <v>128</v>
      </c>
      <c r="E54" s="17">
        <v>4.0</v>
      </c>
    </row>
    <row r="55">
      <c r="A55" s="16" t="s">
        <v>181</v>
      </c>
      <c r="B55" s="30">
        <v>46044.0007044213</v>
      </c>
      <c r="C55" s="16" t="s">
        <v>127</v>
      </c>
      <c r="D55" s="23" t="s">
        <v>128</v>
      </c>
      <c r="E55" s="17">
        <v>4.0</v>
      </c>
    </row>
    <row r="56">
      <c r="A56" s="16" t="s">
        <v>182</v>
      </c>
      <c r="B56" s="30">
        <v>46044.0007044213</v>
      </c>
      <c r="C56" s="16" t="s">
        <v>127</v>
      </c>
      <c r="D56" s="23" t="s">
        <v>128</v>
      </c>
      <c r="E56" s="17">
        <v>4.0</v>
      </c>
    </row>
    <row r="57">
      <c r="A57" s="16" t="s">
        <v>183</v>
      </c>
      <c r="B57" s="30">
        <v>46044.0007044213</v>
      </c>
      <c r="C57" s="16" t="s">
        <v>127</v>
      </c>
      <c r="D57" s="23" t="s">
        <v>128</v>
      </c>
      <c r="E57" s="17">
        <v>4.0</v>
      </c>
    </row>
    <row r="58">
      <c r="A58" s="16" t="s">
        <v>184</v>
      </c>
      <c r="B58" s="30">
        <v>46044.0007044213</v>
      </c>
      <c r="C58" s="16" t="s">
        <v>127</v>
      </c>
      <c r="D58" s="23" t="s">
        <v>128</v>
      </c>
      <c r="E58" s="17">
        <v>4.0</v>
      </c>
    </row>
    <row r="59">
      <c r="A59" s="16" t="s">
        <v>185</v>
      </c>
      <c r="B59" s="30">
        <v>46044.0007044213</v>
      </c>
      <c r="C59" s="16" t="s">
        <v>127</v>
      </c>
      <c r="D59" s="23" t="s">
        <v>128</v>
      </c>
      <c r="E59" s="17">
        <v>4.0</v>
      </c>
    </row>
    <row r="60">
      <c r="A60" s="16" t="s">
        <v>186</v>
      </c>
      <c r="B60" s="30">
        <v>46044.0007044213</v>
      </c>
      <c r="C60" s="16" t="s">
        <v>127</v>
      </c>
      <c r="D60" s="23" t="s">
        <v>128</v>
      </c>
      <c r="E60" s="17">
        <v>4.0</v>
      </c>
    </row>
    <row r="61">
      <c r="A61" s="16" t="s">
        <v>187</v>
      </c>
      <c r="B61" s="30">
        <v>46044.0007044213</v>
      </c>
      <c r="C61" s="16" t="s">
        <v>127</v>
      </c>
      <c r="D61" s="23" t="s">
        <v>128</v>
      </c>
      <c r="E61" s="17">
        <v>4.0</v>
      </c>
    </row>
    <row r="62">
      <c r="A62" s="16" t="s">
        <v>188</v>
      </c>
      <c r="B62" s="30">
        <v>46044.0007044213</v>
      </c>
      <c r="C62" s="16" t="s">
        <v>127</v>
      </c>
      <c r="D62" s="23" t="s">
        <v>128</v>
      </c>
      <c r="E62" s="17">
        <v>4.0</v>
      </c>
    </row>
    <row r="63">
      <c r="A63" s="16" t="s">
        <v>189</v>
      </c>
      <c r="B63" s="30">
        <v>46044.0007044213</v>
      </c>
      <c r="C63" s="16" t="s">
        <v>127</v>
      </c>
      <c r="D63" s="23" t="s">
        <v>128</v>
      </c>
      <c r="E63" s="17">
        <v>4.0</v>
      </c>
    </row>
    <row r="64">
      <c r="A64" s="16" t="s">
        <v>190</v>
      </c>
      <c r="B64" s="30">
        <v>46044.0007044213</v>
      </c>
      <c r="C64" s="16" t="s">
        <v>127</v>
      </c>
      <c r="D64" s="23" t="s">
        <v>128</v>
      </c>
      <c r="E64" s="17">
        <v>4.0</v>
      </c>
    </row>
    <row r="65">
      <c r="A65" s="16" t="s">
        <v>191</v>
      </c>
      <c r="B65" s="30">
        <v>46044.0007044213</v>
      </c>
      <c r="C65" s="16" t="s">
        <v>127</v>
      </c>
      <c r="D65" s="23" t="s">
        <v>128</v>
      </c>
      <c r="E65" s="17">
        <v>4.0</v>
      </c>
    </row>
    <row r="66">
      <c r="A66" s="16" t="s">
        <v>192</v>
      </c>
      <c r="B66" s="30">
        <v>46044.0007044213</v>
      </c>
      <c r="C66" s="16" t="s">
        <v>127</v>
      </c>
      <c r="D66" s="23" t="s">
        <v>128</v>
      </c>
      <c r="E66" s="17">
        <v>4.0</v>
      </c>
    </row>
    <row r="67">
      <c r="A67" s="16" t="s">
        <v>193</v>
      </c>
      <c r="B67" s="30">
        <v>46044.0007044213</v>
      </c>
      <c r="C67" s="16" t="s">
        <v>127</v>
      </c>
      <c r="D67" s="23" t="s">
        <v>128</v>
      </c>
      <c r="E67" s="17">
        <v>4.0</v>
      </c>
    </row>
    <row r="68">
      <c r="A68" s="16" t="s">
        <v>194</v>
      </c>
      <c r="B68" s="30">
        <v>46044.0007044213</v>
      </c>
      <c r="C68" s="16" t="s">
        <v>127</v>
      </c>
      <c r="D68" s="23" t="s">
        <v>128</v>
      </c>
      <c r="E68" s="17">
        <v>4.0</v>
      </c>
    </row>
    <row r="69">
      <c r="A69" s="16" t="s">
        <v>195</v>
      </c>
      <c r="B69" s="30">
        <v>46044.0007044213</v>
      </c>
      <c r="C69" s="16" t="s">
        <v>127</v>
      </c>
      <c r="D69" s="23" t="s">
        <v>128</v>
      </c>
      <c r="E69" s="17">
        <v>4.0</v>
      </c>
    </row>
    <row r="70">
      <c r="A70" s="16" t="s">
        <v>196</v>
      </c>
      <c r="B70" s="30">
        <v>46044.0007044213</v>
      </c>
      <c r="C70" s="16" t="s">
        <v>127</v>
      </c>
      <c r="D70" s="23" t="s">
        <v>128</v>
      </c>
      <c r="E70" s="17">
        <v>4.0</v>
      </c>
    </row>
    <row r="71">
      <c r="A71" s="16" t="s">
        <v>197</v>
      </c>
      <c r="B71" s="30">
        <v>46044.0007044213</v>
      </c>
      <c r="C71" s="16" t="s">
        <v>127</v>
      </c>
      <c r="D71" s="23" t="s">
        <v>128</v>
      </c>
      <c r="E71" s="17">
        <v>4.0</v>
      </c>
    </row>
    <row r="72">
      <c r="A72" s="16" t="s">
        <v>198</v>
      </c>
      <c r="B72" s="30">
        <v>46044.0007044213</v>
      </c>
      <c r="C72" s="16" t="s">
        <v>127</v>
      </c>
      <c r="D72" s="23" t="s">
        <v>128</v>
      </c>
      <c r="E72" s="17">
        <v>4.0</v>
      </c>
    </row>
    <row r="73">
      <c r="A73" s="16" t="s">
        <v>199</v>
      </c>
      <c r="B73" s="30">
        <v>46044.0007044213</v>
      </c>
      <c r="C73" s="16" t="s">
        <v>127</v>
      </c>
      <c r="D73" s="23" t="s">
        <v>128</v>
      </c>
      <c r="E73" s="17">
        <v>4.0</v>
      </c>
    </row>
    <row r="74">
      <c r="A74" s="16" t="s">
        <v>200</v>
      </c>
      <c r="B74" s="30">
        <v>46044.0007044213</v>
      </c>
      <c r="C74" s="16" t="s">
        <v>127</v>
      </c>
      <c r="D74" s="23" t="s">
        <v>128</v>
      </c>
      <c r="E74" s="17">
        <v>4.0</v>
      </c>
    </row>
    <row r="75">
      <c r="A75" s="16" t="s">
        <v>201</v>
      </c>
      <c r="B75" s="30">
        <v>46044.0007044213</v>
      </c>
      <c r="C75" s="16" t="s">
        <v>127</v>
      </c>
      <c r="D75" s="23" t="s">
        <v>128</v>
      </c>
      <c r="E75" s="17">
        <v>4.0</v>
      </c>
    </row>
    <row r="76">
      <c r="A76" s="16" t="s">
        <v>202</v>
      </c>
      <c r="B76" s="30">
        <v>46044.0007044213</v>
      </c>
      <c r="C76" s="16" t="s">
        <v>127</v>
      </c>
      <c r="D76" s="23" t="s">
        <v>128</v>
      </c>
      <c r="E76" s="17">
        <v>4.0</v>
      </c>
    </row>
    <row r="77">
      <c r="A77" s="16" t="s">
        <v>203</v>
      </c>
      <c r="B77" s="30">
        <v>46044.0007044213</v>
      </c>
      <c r="C77" s="16" t="s">
        <v>127</v>
      </c>
      <c r="D77" s="23" t="s">
        <v>128</v>
      </c>
      <c r="E77" s="17">
        <v>4.0</v>
      </c>
    </row>
    <row r="78">
      <c r="A78" s="16" t="s">
        <v>204</v>
      </c>
      <c r="B78" s="30">
        <v>46044.0007044213</v>
      </c>
      <c r="C78" s="16" t="s">
        <v>127</v>
      </c>
      <c r="D78" s="23" t="s">
        <v>128</v>
      </c>
      <c r="E78" s="17">
        <v>4.0</v>
      </c>
    </row>
    <row r="79">
      <c r="A79" s="16" t="s">
        <v>205</v>
      </c>
      <c r="B79" s="30">
        <v>46044.0007044213</v>
      </c>
      <c r="C79" s="16" t="s">
        <v>127</v>
      </c>
      <c r="D79" s="23" t="s">
        <v>128</v>
      </c>
      <c r="E79" s="17">
        <v>4.0</v>
      </c>
    </row>
    <row r="80">
      <c r="A80" s="16" t="s">
        <v>206</v>
      </c>
      <c r="B80" s="30">
        <v>46044.0007044213</v>
      </c>
      <c r="C80" s="16" t="s">
        <v>127</v>
      </c>
      <c r="D80" s="23" t="s">
        <v>128</v>
      </c>
      <c r="E80" s="17">
        <v>4.0</v>
      </c>
    </row>
    <row r="81">
      <c r="A81" s="16" t="s">
        <v>207</v>
      </c>
      <c r="B81" s="30">
        <v>46044.0007044213</v>
      </c>
      <c r="C81" s="16" t="s">
        <v>127</v>
      </c>
      <c r="D81" s="23" t="s">
        <v>128</v>
      </c>
      <c r="E81" s="17">
        <v>4.0</v>
      </c>
    </row>
    <row r="82">
      <c r="A82" s="16" t="s">
        <v>208</v>
      </c>
      <c r="B82" s="30">
        <v>46044.0007044213</v>
      </c>
      <c r="C82" s="16" t="s">
        <v>127</v>
      </c>
      <c r="D82" s="23" t="s">
        <v>128</v>
      </c>
      <c r="E82" s="17">
        <v>4.0</v>
      </c>
    </row>
    <row r="83">
      <c r="A83" s="16" t="s">
        <v>209</v>
      </c>
      <c r="B83" s="30">
        <v>46044.00070443287</v>
      </c>
      <c r="C83" s="16" t="s">
        <v>127</v>
      </c>
      <c r="D83" s="23" t="s">
        <v>128</v>
      </c>
      <c r="E83" s="17">
        <v>4.0</v>
      </c>
    </row>
    <row r="84">
      <c r="A84" s="16" t="s">
        <v>210</v>
      </c>
      <c r="B84" s="30">
        <v>46044.00070443287</v>
      </c>
      <c r="C84" s="16" t="s">
        <v>127</v>
      </c>
      <c r="D84" s="23" t="s">
        <v>128</v>
      </c>
      <c r="E84" s="17">
        <v>4.0</v>
      </c>
    </row>
    <row r="85">
      <c r="A85" s="16" t="s">
        <v>211</v>
      </c>
      <c r="B85" s="30">
        <v>46044.00070443287</v>
      </c>
      <c r="C85" s="16" t="s">
        <v>127</v>
      </c>
      <c r="D85" s="23" t="s">
        <v>128</v>
      </c>
      <c r="E85" s="17">
        <v>4.0</v>
      </c>
    </row>
    <row r="86">
      <c r="A86" s="16" t="s">
        <v>212</v>
      </c>
      <c r="B86" s="30">
        <v>46044.00070443287</v>
      </c>
      <c r="C86" s="16" t="s">
        <v>127</v>
      </c>
      <c r="D86" s="23" t="s">
        <v>128</v>
      </c>
      <c r="E86" s="17">
        <v>4.0</v>
      </c>
    </row>
    <row r="87">
      <c r="A87" s="16" t="s">
        <v>213</v>
      </c>
      <c r="B87" s="30">
        <v>46044.00070443287</v>
      </c>
      <c r="C87" s="16" t="s">
        <v>127</v>
      </c>
      <c r="D87" s="23" t="s">
        <v>128</v>
      </c>
      <c r="E87" s="17">
        <v>4.0</v>
      </c>
    </row>
    <row r="88">
      <c r="A88" s="16" t="s">
        <v>214</v>
      </c>
      <c r="B88" s="30">
        <v>46044.00070443287</v>
      </c>
      <c r="C88" s="16" t="s">
        <v>127</v>
      </c>
      <c r="D88" s="23" t="s">
        <v>128</v>
      </c>
      <c r="E88" s="17">
        <v>4.0</v>
      </c>
    </row>
    <row r="89">
      <c r="A89" s="16" t="s">
        <v>215</v>
      </c>
      <c r="B89" s="30">
        <v>46044.00070443287</v>
      </c>
      <c r="C89" s="16" t="s">
        <v>127</v>
      </c>
      <c r="D89" s="23" t="s">
        <v>128</v>
      </c>
      <c r="E89" s="17">
        <v>4.0</v>
      </c>
    </row>
    <row r="90">
      <c r="A90" s="16" t="s">
        <v>216</v>
      </c>
      <c r="B90" s="30">
        <v>46044.00070443287</v>
      </c>
      <c r="C90" s="16" t="s">
        <v>127</v>
      </c>
      <c r="D90" s="23" t="s">
        <v>128</v>
      </c>
      <c r="E90" s="17">
        <v>4.0</v>
      </c>
    </row>
    <row r="91">
      <c r="A91" s="16" t="s">
        <v>217</v>
      </c>
      <c r="B91" s="30">
        <v>46044.00070443287</v>
      </c>
      <c r="C91" s="16" t="s">
        <v>127</v>
      </c>
      <c r="D91" s="23" t="s">
        <v>128</v>
      </c>
      <c r="E91" s="17">
        <v>4.0</v>
      </c>
    </row>
    <row r="92">
      <c r="A92" s="16" t="s">
        <v>218</v>
      </c>
      <c r="B92" s="30">
        <v>46044.00070443287</v>
      </c>
      <c r="C92" s="16" t="s">
        <v>127</v>
      </c>
      <c r="D92" s="23" t="s">
        <v>128</v>
      </c>
      <c r="E92" s="17">
        <v>4.0</v>
      </c>
    </row>
    <row r="93">
      <c r="A93" s="16" t="s">
        <v>219</v>
      </c>
      <c r="B93" s="30">
        <v>46044.00070443287</v>
      </c>
      <c r="C93" s="16" t="s">
        <v>127</v>
      </c>
      <c r="D93" s="23" t="s">
        <v>128</v>
      </c>
      <c r="E93" s="17">
        <v>4.0</v>
      </c>
    </row>
    <row r="94">
      <c r="A94" s="16" t="s">
        <v>220</v>
      </c>
      <c r="B94" s="30">
        <v>46044.00070443287</v>
      </c>
      <c r="C94" s="16" t="s">
        <v>127</v>
      </c>
      <c r="D94" s="23" t="s">
        <v>128</v>
      </c>
      <c r="E94" s="17">
        <v>4.0</v>
      </c>
    </row>
    <row r="95">
      <c r="A95" s="16" t="s">
        <v>221</v>
      </c>
      <c r="B95" s="30">
        <v>46044.00070443287</v>
      </c>
      <c r="C95" s="16" t="s">
        <v>127</v>
      </c>
      <c r="D95" s="23" t="s">
        <v>128</v>
      </c>
      <c r="E95" s="17">
        <v>4.0</v>
      </c>
    </row>
    <row r="96">
      <c r="A96" s="16" t="s">
        <v>222</v>
      </c>
      <c r="B96" s="30">
        <v>46044.00070443287</v>
      </c>
      <c r="C96" s="16" t="s">
        <v>127</v>
      </c>
      <c r="D96" s="23" t="s">
        <v>128</v>
      </c>
      <c r="E96" s="17">
        <v>4.0</v>
      </c>
    </row>
    <row r="97">
      <c r="A97" s="16" t="s">
        <v>223</v>
      </c>
      <c r="B97" s="30">
        <v>46044.00070443287</v>
      </c>
      <c r="C97" s="16" t="s">
        <v>127</v>
      </c>
      <c r="D97" s="23" t="s">
        <v>128</v>
      </c>
      <c r="E97" s="17">
        <v>4.0</v>
      </c>
    </row>
    <row r="98">
      <c r="A98" s="16" t="s">
        <v>224</v>
      </c>
      <c r="B98" s="30">
        <v>46044.00070443287</v>
      </c>
      <c r="C98" s="16" t="s">
        <v>127</v>
      </c>
      <c r="D98" s="23" t="s">
        <v>128</v>
      </c>
      <c r="E98" s="17">
        <v>4.0</v>
      </c>
    </row>
    <row r="99">
      <c r="A99" s="16" t="s">
        <v>225</v>
      </c>
      <c r="B99" s="30">
        <v>46044.00070443287</v>
      </c>
      <c r="C99" s="16" t="s">
        <v>127</v>
      </c>
      <c r="D99" s="23" t="s">
        <v>128</v>
      </c>
      <c r="E99" s="17">
        <v>4.0</v>
      </c>
    </row>
    <row r="100">
      <c r="A100" s="16" t="s">
        <v>226</v>
      </c>
      <c r="B100" s="30">
        <v>46044.00070443287</v>
      </c>
      <c r="C100" s="16" t="s">
        <v>127</v>
      </c>
      <c r="D100" s="23" t="s">
        <v>128</v>
      </c>
      <c r="E100" s="17">
        <v>4.0</v>
      </c>
    </row>
    <row r="101">
      <c r="A101" s="16" t="s">
        <v>227</v>
      </c>
      <c r="B101" s="30">
        <v>46044.00070443287</v>
      </c>
      <c r="C101" s="16" t="s">
        <v>127</v>
      </c>
      <c r="D101" s="23" t="s">
        <v>128</v>
      </c>
      <c r="E101" s="17">
        <v>4.0</v>
      </c>
    </row>
    <row r="102">
      <c r="A102" s="16" t="s">
        <v>228</v>
      </c>
      <c r="B102" s="30">
        <v>46044.00070443287</v>
      </c>
      <c r="C102" s="16" t="s">
        <v>127</v>
      </c>
      <c r="D102" s="23" t="s">
        <v>128</v>
      </c>
      <c r="E102" s="17">
        <v>4.0</v>
      </c>
    </row>
    <row r="103">
      <c r="A103" s="16" t="s">
        <v>229</v>
      </c>
      <c r="B103" s="30">
        <v>46044.00070443287</v>
      </c>
      <c r="C103" s="16" t="s">
        <v>127</v>
      </c>
      <c r="D103" s="23" t="s">
        <v>128</v>
      </c>
      <c r="E103" s="17">
        <v>4.0</v>
      </c>
    </row>
    <row r="104">
      <c r="A104" s="16" t="s">
        <v>230</v>
      </c>
      <c r="B104" s="30">
        <v>46044.00070443287</v>
      </c>
      <c r="C104" s="16" t="s">
        <v>127</v>
      </c>
      <c r="D104" s="23" t="s">
        <v>128</v>
      </c>
      <c r="E104" s="17">
        <v>4.0</v>
      </c>
    </row>
    <row r="105">
      <c r="A105" s="16" t="s">
        <v>231</v>
      </c>
      <c r="B105" s="30">
        <v>46044.00070443287</v>
      </c>
      <c r="C105" s="16" t="s">
        <v>127</v>
      </c>
      <c r="D105" s="23" t="s">
        <v>128</v>
      </c>
      <c r="E105" s="17">
        <v>4.0</v>
      </c>
    </row>
    <row r="106">
      <c r="A106" s="16" t="s">
        <v>232</v>
      </c>
      <c r="B106" s="30">
        <v>46044.00070443287</v>
      </c>
      <c r="C106" s="16" t="s">
        <v>127</v>
      </c>
      <c r="D106" s="23" t="s">
        <v>128</v>
      </c>
      <c r="E106" s="17">
        <v>4.0</v>
      </c>
    </row>
    <row r="107">
      <c r="A107" s="16" t="s">
        <v>233</v>
      </c>
      <c r="B107" s="30">
        <v>46044.00070443287</v>
      </c>
      <c r="C107" s="16" t="s">
        <v>127</v>
      </c>
      <c r="D107" s="23" t="s">
        <v>128</v>
      </c>
      <c r="E107" s="17">
        <v>4.0</v>
      </c>
    </row>
    <row r="108">
      <c r="A108" s="16" t="s">
        <v>234</v>
      </c>
      <c r="B108" s="30">
        <v>46044.00070443287</v>
      </c>
      <c r="C108" s="16" t="s">
        <v>127</v>
      </c>
      <c r="D108" s="23" t="s">
        <v>128</v>
      </c>
      <c r="E108" s="17">
        <v>4.0</v>
      </c>
    </row>
    <row r="109">
      <c r="A109" s="16" t="s">
        <v>235</v>
      </c>
      <c r="B109" s="30">
        <v>46044.00070443287</v>
      </c>
      <c r="C109" s="16" t="s">
        <v>127</v>
      </c>
      <c r="D109" s="23" t="s">
        <v>128</v>
      </c>
      <c r="E109" s="17">
        <v>4.0</v>
      </c>
    </row>
    <row r="110">
      <c r="A110" s="16" t="s">
        <v>236</v>
      </c>
      <c r="B110" s="30">
        <v>46044.00070443287</v>
      </c>
      <c r="C110" s="16" t="s">
        <v>127</v>
      </c>
      <c r="D110" s="23" t="s">
        <v>128</v>
      </c>
      <c r="E110" s="17">
        <v>4.0</v>
      </c>
    </row>
    <row r="111">
      <c r="A111" s="16" t="s">
        <v>237</v>
      </c>
      <c r="B111" s="30">
        <v>46044.00070443287</v>
      </c>
      <c r="C111" s="16" t="s">
        <v>127</v>
      </c>
      <c r="D111" s="23" t="s">
        <v>128</v>
      </c>
      <c r="E111" s="17">
        <v>4.0</v>
      </c>
    </row>
    <row r="112">
      <c r="A112" s="16" t="s">
        <v>238</v>
      </c>
      <c r="B112" s="30">
        <v>46044.00070443287</v>
      </c>
      <c r="C112" s="16" t="s">
        <v>127</v>
      </c>
      <c r="D112" s="23" t="s">
        <v>128</v>
      </c>
      <c r="E112" s="17">
        <v>4.0</v>
      </c>
    </row>
    <row r="113">
      <c r="A113" s="16" t="s">
        <v>239</v>
      </c>
      <c r="B113" s="30">
        <v>46044.00070443287</v>
      </c>
      <c r="C113" s="16" t="s">
        <v>127</v>
      </c>
      <c r="D113" s="23" t="s">
        <v>128</v>
      </c>
      <c r="E113" s="17">
        <v>4.0</v>
      </c>
    </row>
    <row r="114">
      <c r="A114" s="16" t="s">
        <v>240</v>
      </c>
      <c r="B114" s="30">
        <v>46044.00070443287</v>
      </c>
      <c r="C114" s="16" t="s">
        <v>127</v>
      </c>
      <c r="D114" s="23" t="s">
        <v>128</v>
      </c>
      <c r="E114" s="17">
        <v>4.0</v>
      </c>
    </row>
    <row r="115">
      <c r="A115" s="16" t="s">
        <v>241</v>
      </c>
      <c r="B115" s="30">
        <v>46044.00070443287</v>
      </c>
      <c r="C115" s="16" t="s">
        <v>127</v>
      </c>
      <c r="D115" s="23" t="s">
        <v>128</v>
      </c>
      <c r="E115" s="17">
        <v>4.0</v>
      </c>
    </row>
    <row r="116">
      <c r="A116" s="16" t="s">
        <v>242</v>
      </c>
      <c r="B116" s="30">
        <v>46044.00070443287</v>
      </c>
      <c r="C116" s="16" t="s">
        <v>127</v>
      </c>
      <c r="D116" s="23" t="s">
        <v>128</v>
      </c>
      <c r="E116" s="17">
        <v>4.0</v>
      </c>
    </row>
    <row r="117">
      <c r="A117" s="16" t="s">
        <v>243</v>
      </c>
      <c r="B117" s="30">
        <v>46044.00070443287</v>
      </c>
      <c r="C117" s="16" t="s">
        <v>127</v>
      </c>
      <c r="D117" s="23" t="s">
        <v>128</v>
      </c>
      <c r="E117" s="17">
        <v>4.0</v>
      </c>
    </row>
    <row r="118">
      <c r="A118" s="16" t="s">
        <v>244</v>
      </c>
      <c r="B118" s="30">
        <v>46044.00070443287</v>
      </c>
      <c r="C118" s="16" t="s">
        <v>127</v>
      </c>
      <c r="D118" s="23" t="s">
        <v>128</v>
      </c>
      <c r="E118" s="17">
        <v>4.0</v>
      </c>
    </row>
    <row r="119">
      <c r="A119" s="16" t="s">
        <v>245</v>
      </c>
      <c r="B119" s="30">
        <v>46044.00070443287</v>
      </c>
      <c r="C119" s="16" t="s">
        <v>127</v>
      </c>
      <c r="D119" s="23" t="s">
        <v>128</v>
      </c>
      <c r="E119" s="17">
        <v>4.0</v>
      </c>
    </row>
    <row r="120">
      <c r="A120" s="16" t="s">
        <v>246</v>
      </c>
      <c r="B120" s="30">
        <v>46044.00070443287</v>
      </c>
      <c r="C120" s="16" t="s">
        <v>127</v>
      </c>
      <c r="D120" s="23" t="s">
        <v>128</v>
      </c>
      <c r="E120" s="17">
        <v>4.0</v>
      </c>
    </row>
    <row r="121">
      <c r="A121" s="16" t="s">
        <v>247</v>
      </c>
      <c r="B121" s="30">
        <v>46044.00070443287</v>
      </c>
      <c r="C121" s="16" t="s">
        <v>127</v>
      </c>
      <c r="D121" s="23" t="s">
        <v>128</v>
      </c>
      <c r="E121" s="17">
        <v>4.0</v>
      </c>
    </row>
    <row r="122">
      <c r="A122" s="16" t="s">
        <v>248</v>
      </c>
      <c r="B122" s="30">
        <v>46044.00070443287</v>
      </c>
      <c r="C122" s="16" t="s">
        <v>127</v>
      </c>
      <c r="D122" s="23" t="s">
        <v>128</v>
      </c>
      <c r="E122" s="17">
        <v>4.0</v>
      </c>
    </row>
    <row r="123">
      <c r="A123" s="16" t="s">
        <v>249</v>
      </c>
      <c r="B123" s="30">
        <v>46044.00070443287</v>
      </c>
      <c r="C123" s="16" t="s">
        <v>127</v>
      </c>
      <c r="D123" s="23" t="s">
        <v>128</v>
      </c>
      <c r="E123" s="17">
        <v>4.0</v>
      </c>
    </row>
    <row r="124">
      <c r="A124" s="16" t="s">
        <v>250</v>
      </c>
      <c r="B124" s="30">
        <v>46044.00070443287</v>
      </c>
      <c r="C124" s="16" t="s">
        <v>127</v>
      </c>
      <c r="D124" s="23" t="s">
        <v>128</v>
      </c>
      <c r="E124" s="17">
        <v>4.0</v>
      </c>
    </row>
    <row r="125">
      <c r="A125" s="16" t="s">
        <v>251</v>
      </c>
      <c r="B125" s="30">
        <v>46044.00070443287</v>
      </c>
      <c r="C125" s="16" t="s">
        <v>127</v>
      </c>
      <c r="D125" s="23" t="s">
        <v>128</v>
      </c>
      <c r="E125" s="17">
        <v>4.0</v>
      </c>
    </row>
    <row r="126">
      <c r="A126" s="16" t="s">
        <v>252</v>
      </c>
      <c r="B126" s="30">
        <v>46044.00070443287</v>
      </c>
      <c r="C126" s="16" t="s">
        <v>127</v>
      </c>
      <c r="D126" s="23" t="s">
        <v>128</v>
      </c>
      <c r="E126" s="17">
        <v>4.0</v>
      </c>
    </row>
    <row r="127">
      <c r="A127" s="16" t="s">
        <v>253</v>
      </c>
      <c r="B127" s="30">
        <v>46044.00070443287</v>
      </c>
      <c r="C127" s="16" t="s">
        <v>127</v>
      </c>
      <c r="D127" s="23" t="s">
        <v>128</v>
      </c>
      <c r="E127" s="17">
        <v>4.0</v>
      </c>
    </row>
    <row r="128">
      <c r="A128" s="16" t="s">
        <v>254</v>
      </c>
      <c r="B128" s="30">
        <v>46044.00070443287</v>
      </c>
      <c r="C128" s="16" t="s">
        <v>127</v>
      </c>
      <c r="D128" s="23" t="s">
        <v>128</v>
      </c>
      <c r="E128" s="17">
        <v>4.0</v>
      </c>
    </row>
    <row r="129">
      <c r="A129" s="16" t="s">
        <v>255</v>
      </c>
      <c r="B129" s="30">
        <v>46044.00070443287</v>
      </c>
      <c r="C129" s="16" t="s">
        <v>127</v>
      </c>
      <c r="D129" s="23" t="s">
        <v>128</v>
      </c>
      <c r="E129" s="17">
        <v>4.0</v>
      </c>
    </row>
    <row r="130">
      <c r="A130" s="16" t="s">
        <v>256</v>
      </c>
      <c r="B130" s="30">
        <v>46044.00070443287</v>
      </c>
      <c r="C130" s="16" t="s">
        <v>127</v>
      </c>
      <c r="D130" s="23" t="s">
        <v>128</v>
      </c>
      <c r="E130" s="17">
        <v>4.0</v>
      </c>
    </row>
    <row r="131">
      <c r="A131" s="16" t="s">
        <v>257</v>
      </c>
      <c r="B131" s="30">
        <v>46044.00070443287</v>
      </c>
      <c r="C131" s="16" t="s">
        <v>127</v>
      </c>
      <c r="D131" s="23" t="s">
        <v>128</v>
      </c>
      <c r="E131" s="17">
        <v>4.0</v>
      </c>
    </row>
    <row r="132">
      <c r="A132" s="16" t="s">
        <v>258</v>
      </c>
      <c r="B132" s="30">
        <v>46044.00070443287</v>
      </c>
      <c r="C132" s="16" t="s">
        <v>127</v>
      </c>
      <c r="D132" s="23" t="s">
        <v>128</v>
      </c>
      <c r="E132" s="17">
        <v>4.0</v>
      </c>
    </row>
    <row r="133">
      <c r="A133" s="16" t="s">
        <v>259</v>
      </c>
      <c r="B133" s="30">
        <v>46044.00070443287</v>
      </c>
      <c r="C133" s="16" t="s">
        <v>127</v>
      </c>
      <c r="D133" s="23" t="s">
        <v>128</v>
      </c>
      <c r="E133" s="17">
        <v>4.0</v>
      </c>
    </row>
    <row r="134">
      <c r="A134" s="16" t="s">
        <v>260</v>
      </c>
      <c r="B134" s="30">
        <v>46044.00070443287</v>
      </c>
      <c r="C134" s="16" t="s">
        <v>127</v>
      </c>
      <c r="D134" s="23" t="s">
        <v>128</v>
      </c>
      <c r="E134" s="17">
        <v>4.0</v>
      </c>
    </row>
    <row r="135">
      <c r="A135" s="16" t="s">
        <v>261</v>
      </c>
      <c r="B135" s="30">
        <v>46044.00070443287</v>
      </c>
      <c r="C135" s="16" t="s">
        <v>127</v>
      </c>
      <c r="D135" s="23" t="s">
        <v>128</v>
      </c>
      <c r="E135" s="17">
        <v>4.0</v>
      </c>
    </row>
    <row r="136">
      <c r="A136" s="16" t="s">
        <v>262</v>
      </c>
      <c r="B136" s="30">
        <v>46044.00070443287</v>
      </c>
      <c r="C136" s="16" t="s">
        <v>127</v>
      </c>
      <c r="D136" s="23" t="s">
        <v>128</v>
      </c>
      <c r="E136" s="17">
        <v>4.0</v>
      </c>
    </row>
    <row r="137">
      <c r="A137" s="16" t="s">
        <v>263</v>
      </c>
      <c r="B137" s="30">
        <v>46044.00070443287</v>
      </c>
      <c r="C137" s="16" t="s">
        <v>127</v>
      </c>
      <c r="D137" s="23" t="s">
        <v>128</v>
      </c>
      <c r="E137" s="17">
        <v>4.0</v>
      </c>
    </row>
    <row r="138">
      <c r="A138" s="16" t="s">
        <v>264</v>
      </c>
      <c r="B138" s="30">
        <v>46044.00070443287</v>
      </c>
      <c r="C138" s="16" t="s">
        <v>127</v>
      </c>
      <c r="D138" s="23" t="s">
        <v>128</v>
      </c>
      <c r="E138" s="17">
        <v>4.0</v>
      </c>
    </row>
    <row r="139">
      <c r="A139" s="16" t="s">
        <v>265</v>
      </c>
      <c r="B139" s="30">
        <v>46044.00070443287</v>
      </c>
      <c r="C139" s="16" t="s">
        <v>127</v>
      </c>
      <c r="D139" s="23" t="s">
        <v>128</v>
      </c>
      <c r="E139" s="17">
        <v>4.0</v>
      </c>
    </row>
    <row r="140">
      <c r="A140" s="16" t="s">
        <v>266</v>
      </c>
      <c r="B140" s="30">
        <v>46044.00070443287</v>
      </c>
      <c r="C140" s="16" t="s">
        <v>127</v>
      </c>
      <c r="D140" s="23" t="s">
        <v>128</v>
      </c>
      <c r="E140" s="17">
        <v>4.0</v>
      </c>
    </row>
    <row r="141">
      <c r="A141" s="16" t="s">
        <v>267</v>
      </c>
      <c r="B141" s="30">
        <v>46044.00070443287</v>
      </c>
      <c r="C141" s="16" t="s">
        <v>127</v>
      </c>
      <c r="D141" s="23" t="s">
        <v>128</v>
      </c>
      <c r="E141" s="17">
        <v>4.0</v>
      </c>
    </row>
    <row r="142">
      <c r="A142" s="16" t="s">
        <v>268</v>
      </c>
      <c r="B142" s="30">
        <v>46044.00070443287</v>
      </c>
      <c r="C142" s="16" t="s">
        <v>127</v>
      </c>
      <c r="D142" s="23" t="s">
        <v>128</v>
      </c>
      <c r="E142" s="17">
        <v>4.0</v>
      </c>
    </row>
    <row r="143">
      <c r="A143" s="16" t="s">
        <v>269</v>
      </c>
      <c r="B143" s="30">
        <v>46044.00070443287</v>
      </c>
      <c r="C143" s="16" t="s">
        <v>127</v>
      </c>
      <c r="D143" s="23" t="s">
        <v>128</v>
      </c>
      <c r="E143" s="17">
        <v>4.0</v>
      </c>
    </row>
    <row r="144">
      <c r="A144" s="16" t="s">
        <v>270</v>
      </c>
      <c r="B144" s="30">
        <v>46044.00070443287</v>
      </c>
      <c r="C144" s="16" t="s">
        <v>127</v>
      </c>
      <c r="D144" s="23" t="s">
        <v>128</v>
      </c>
      <c r="E144" s="17">
        <v>4.0</v>
      </c>
    </row>
    <row r="145">
      <c r="A145" s="16" t="s">
        <v>271</v>
      </c>
      <c r="B145" s="30">
        <v>46044.00070443287</v>
      </c>
      <c r="C145" s="16" t="s">
        <v>127</v>
      </c>
      <c r="D145" s="23" t="s">
        <v>128</v>
      </c>
      <c r="E145" s="17">
        <v>4.0</v>
      </c>
    </row>
    <row r="146">
      <c r="A146" s="16" t="s">
        <v>272</v>
      </c>
      <c r="B146" s="30">
        <v>46044.00070443287</v>
      </c>
      <c r="C146" s="16" t="s">
        <v>127</v>
      </c>
      <c r="D146" s="23" t="s">
        <v>128</v>
      </c>
      <c r="E146" s="17">
        <v>4.0</v>
      </c>
    </row>
    <row r="147">
      <c r="A147" s="16" t="s">
        <v>273</v>
      </c>
      <c r="B147" s="30">
        <v>46044.00070443287</v>
      </c>
      <c r="C147" s="16" t="s">
        <v>127</v>
      </c>
      <c r="D147" s="23" t="s">
        <v>128</v>
      </c>
      <c r="E147" s="17">
        <v>4.0</v>
      </c>
    </row>
    <row r="148">
      <c r="A148" s="16" t="s">
        <v>274</v>
      </c>
      <c r="B148" s="30">
        <v>46044.00070443287</v>
      </c>
      <c r="C148" s="16" t="s">
        <v>127</v>
      </c>
      <c r="D148" s="23" t="s">
        <v>128</v>
      </c>
      <c r="E148" s="17">
        <v>4.0</v>
      </c>
    </row>
    <row r="149">
      <c r="A149" s="16" t="s">
        <v>275</v>
      </c>
      <c r="B149" s="30">
        <v>46044.00070443287</v>
      </c>
      <c r="C149" s="16" t="s">
        <v>127</v>
      </c>
      <c r="D149" s="23" t="s">
        <v>128</v>
      </c>
      <c r="E149" s="17">
        <v>4.0</v>
      </c>
    </row>
    <row r="150">
      <c r="A150" s="16" t="s">
        <v>276</v>
      </c>
      <c r="B150" s="30">
        <v>46044.00070443287</v>
      </c>
      <c r="C150" s="16" t="s">
        <v>127</v>
      </c>
      <c r="D150" s="23" t="s">
        <v>128</v>
      </c>
      <c r="E150" s="17">
        <v>4.0</v>
      </c>
    </row>
    <row r="151">
      <c r="A151" s="16" t="s">
        <v>277</v>
      </c>
      <c r="B151" s="30">
        <v>46044.00070443287</v>
      </c>
      <c r="C151" s="16" t="s">
        <v>127</v>
      </c>
      <c r="D151" s="23" t="s">
        <v>128</v>
      </c>
      <c r="E151" s="17">
        <v>4.0</v>
      </c>
    </row>
    <row r="152">
      <c r="A152" s="16" t="s">
        <v>278</v>
      </c>
      <c r="B152" s="30">
        <v>46044.00070443287</v>
      </c>
      <c r="C152" s="16" t="s">
        <v>127</v>
      </c>
      <c r="D152" s="23" t="s">
        <v>128</v>
      </c>
      <c r="E152" s="17">
        <v>4.0</v>
      </c>
    </row>
    <row r="153">
      <c r="A153" s="16" t="s">
        <v>279</v>
      </c>
      <c r="B153" s="30">
        <v>46044.00070443287</v>
      </c>
      <c r="C153" s="16" t="s">
        <v>127</v>
      </c>
      <c r="D153" s="23" t="s">
        <v>128</v>
      </c>
      <c r="E153" s="17">
        <v>4.0</v>
      </c>
    </row>
    <row r="154">
      <c r="A154" s="16" t="s">
        <v>280</v>
      </c>
      <c r="B154" s="30">
        <v>46044.00070443287</v>
      </c>
      <c r="C154" s="16" t="s">
        <v>127</v>
      </c>
      <c r="D154" s="23" t="s">
        <v>128</v>
      </c>
      <c r="E154" s="17">
        <v>4.0</v>
      </c>
    </row>
    <row r="155">
      <c r="A155" s="16" t="s">
        <v>281</v>
      </c>
      <c r="B155" s="30">
        <v>46044.00070443287</v>
      </c>
      <c r="C155" s="16" t="s">
        <v>127</v>
      </c>
      <c r="D155" s="23" t="s">
        <v>128</v>
      </c>
      <c r="E155" s="17">
        <v>4.0</v>
      </c>
    </row>
    <row r="156">
      <c r="A156" s="16" t="s">
        <v>282</v>
      </c>
      <c r="B156" s="30">
        <v>46044.00070443287</v>
      </c>
      <c r="C156" s="16" t="s">
        <v>127</v>
      </c>
      <c r="D156" s="23" t="s">
        <v>128</v>
      </c>
      <c r="E156" s="17">
        <v>4.0</v>
      </c>
    </row>
    <row r="157">
      <c r="A157" s="16" t="s">
        <v>283</v>
      </c>
      <c r="B157" s="30">
        <v>46044.00070443287</v>
      </c>
      <c r="C157" s="16" t="s">
        <v>127</v>
      </c>
      <c r="D157" s="23" t="s">
        <v>128</v>
      </c>
      <c r="E157" s="17">
        <v>4.0</v>
      </c>
    </row>
    <row r="158">
      <c r="A158" s="16" t="s">
        <v>284</v>
      </c>
      <c r="B158" s="30">
        <v>46044.00070443287</v>
      </c>
      <c r="C158" s="16" t="s">
        <v>127</v>
      </c>
      <c r="D158" s="23" t="s">
        <v>128</v>
      </c>
      <c r="E158" s="17">
        <v>4.0</v>
      </c>
    </row>
    <row r="159">
      <c r="A159" s="16" t="s">
        <v>285</v>
      </c>
      <c r="B159" s="30">
        <v>46044.00070443287</v>
      </c>
      <c r="C159" s="16" t="s">
        <v>127</v>
      </c>
      <c r="D159" s="23" t="s">
        <v>128</v>
      </c>
      <c r="E159" s="17">
        <v>4.0</v>
      </c>
    </row>
    <row r="160">
      <c r="A160" s="16" t="s">
        <v>286</v>
      </c>
      <c r="B160" s="30">
        <v>46044.00070443287</v>
      </c>
      <c r="C160" s="16" t="s">
        <v>127</v>
      </c>
      <c r="D160" s="23" t="s">
        <v>128</v>
      </c>
      <c r="E160" s="17">
        <v>4.0</v>
      </c>
    </row>
    <row r="161">
      <c r="A161" s="16" t="s">
        <v>287</v>
      </c>
      <c r="B161" s="30">
        <v>46044.00070443287</v>
      </c>
      <c r="C161" s="16" t="s">
        <v>127</v>
      </c>
      <c r="D161" s="23" t="s">
        <v>128</v>
      </c>
      <c r="E161" s="17">
        <v>4.0</v>
      </c>
    </row>
    <row r="162">
      <c r="A162" s="16" t="s">
        <v>288</v>
      </c>
      <c r="B162" s="30">
        <v>46044.00070443287</v>
      </c>
      <c r="C162" s="16" t="s">
        <v>127</v>
      </c>
      <c r="D162" s="23" t="s">
        <v>128</v>
      </c>
      <c r="E162" s="17">
        <v>4.0</v>
      </c>
    </row>
    <row r="163">
      <c r="A163" s="16" t="s">
        <v>289</v>
      </c>
      <c r="B163" s="30">
        <v>46044.00070443287</v>
      </c>
      <c r="C163" s="16" t="s">
        <v>127</v>
      </c>
      <c r="D163" s="23" t="s">
        <v>128</v>
      </c>
      <c r="E163" s="17">
        <v>4.0</v>
      </c>
    </row>
    <row r="164">
      <c r="A164" s="16" t="s">
        <v>290</v>
      </c>
      <c r="B164" s="30">
        <v>46044.00070443287</v>
      </c>
      <c r="C164" s="16" t="s">
        <v>127</v>
      </c>
      <c r="D164" s="23" t="s">
        <v>128</v>
      </c>
      <c r="E164" s="17">
        <v>4.0</v>
      </c>
    </row>
    <row r="165">
      <c r="A165" s="16" t="s">
        <v>291</v>
      </c>
      <c r="B165" s="30">
        <v>46044.00070443287</v>
      </c>
      <c r="C165" s="16" t="s">
        <v>127</v>
      </c>
      <c r="D165" s="23" t="s">
        <v>128</v>
      </c>
      <c r="E165" s="17">
        <v>4.0</v>
      </c>
    </row>
    <row r="166">
      <c r="A166" s="16" t="s">
        <v>292</v>
      </c>
      <c r="B166" s="30">
        <v>46044.00070443287</v>
      </c>
      <c r="C166" s="16" t="s">
        <v>127</v>
      </c>
      <c r="D166" s="23" t="s">
        <v>128</v>
      </c>
      <c r="E166" s="17">
        <v>4.0</v>
      </c>
    </row>
    <row r="167">
      <c r="A167" s="16" t="s">
        <v>293</v>
      </c>
      <c r="B167" s="30">
        <v>46044.00070443287</v>
      </c>
      <c r="C167" s="16" t="s">
        <v>127</v>
      </c>
      <c r="D167" s="23" t="s">
        <v>128</v>
      </c>
      <c r="E167" s="17">
        <v>4.0</v>
      </c>
    </row>
    <row r="168">
      <c r="A168" s="16" t="s">
        <v>294</v>
      </c>
      <c r="B168" s="30">
        <v>46044.00070443287</v>
      </c>
      <c r="C168" s="16" t="s">
        <v>127</v>
      </c>
      <c r="D168" s="23" t="s">
        <v>128</v>
      </c>
      <c r="E168" s="17">
        <v>4.0</v>
      </c>
    </row>
    <row r="169">
      <c r="A169" s="16" t="s">
        <v>295</v>
      </c>
      <c r="B169" s="30">
        <v>46044.00070443287</v>
      </c>
      <c r="C169" s="16" t="s">
        <v>127</v>
      </c>
      <c r="D169" s="23" t="s">
        <v>128</v>
      </c>
      <c r="E169" s="17">
        <v>4.0</v>
      </c>
    </row>
    <row r="170">
      <c r="A170" s="16" t="s">
        <v>296</v>
      </c>
      <c r="B170" s="30">
        <v>46044.00070443287</v>
      </c>
      <c r="C170" s="16" t="s">
        <v>127</v>
      </c>
      <c r="D170" s="23" t="s">
        <v>128</v>
      </c>
      <c r="E170" s="17">
        <v>4.0</v>
      </c>
    </row>
    <row r="171">
      <c r="A171" s="16" t="s">
        <v>297</v>
      </c>
      <c r="B171" s="30">
        <v>46044.00070443287</v>
      </c>
      <c r="C171" s="16" t="s">
        <v>127</v>
      </c>
      <c r="D171" s="23" t="s">
        <v>128</v>
      </c>
      <c r="E171" s="17">
        <v>4.0</v>
      </c>
    </row>
    <row r="172">
      <c r="A172" s="16" t="s">
        <v>298</v>
      </c>
      <c r="B172" s="30">
        <v>46044.00070443287</v>
      </c>
      <c r="C172" s="16" t="s">
        <v>127</v>
      </c>
      <c r="D172" s="23" t="s">
        <v>128</v>
      </c>
      <c r="E172" s="17">
        <v>4.0</v>
      </c>
    </row>
    <row r="173">
      <c r="A173" s="16" t="s">
        <v>299</v>
      </c>
      <c r="B173" s="30">
        <v>46044.00070443287</v>
      </c>
      <c r="C173" s="16" t="s">
        <v>127</v>
      </c>
      <c r="D173" s="23" t="s">
        <v>128</v>
      </c>
      <c r="E173" s="17">
        <v>4.0</v>
      </c>
    </row>
    <row r="174">
      <c r="A174" s="16" t="s">
        <v>300</v>
      </c>
      <c r="B174" s="30">
        <v>46044.00070443287</v>
      </c>
      <c r="C174" s="16" t="s">
        <v>127</v>
      </c>
      <c r="D174" s="23" t="s">
        <v>128</v>
      </c>
      <c r="E174" s="17">
        <v>4.0</v>
      </c>
    </row>
    <row r="175">
      <c r="A175" s="16" t="s">
        <v>301</v>
      </c>
      <c r="B175" s="30">
        <v>46044.00070443287</v>
      </c>
      <c r="C175" s="16" t="s">
        <v>127</v>
      </c>
      <c r="D175" s="23" t="s">
        <v>128</v>
      </c>
      <c r="E175" s="17">
        <v>4.0</v>
      </c>
    </row>
    <row r="176">
      <c r="A176" s="16" t="s">
        <v>302</v>
      </c>
      <c r="B176" s="30">
        <v>46044.00070443287</v>
      </c>
      <c r="C176" s="16" t="s">
        <v>127</v>
      </c>
      <c r="D176" s="23" t="s">
        <v>128</v>
      </c>
      <c r="E176" s="17">
        <v>4.0</v>
      </c>
    </row>
    <row r="177">
      <c r="A177" s="16" t="s">
        <v>303</v>
      </c>
      <c r="B177" s="30">
        <v>46044.00070443287</v>
      </c>
      <c r="C177" s="16" t="s">
        <v>127</v>
      </c>
      <c r="D177" s="23" t="s">
        <v>128</v>
      </c>
      <c r="E177" s="17">
        <v>4.0</v>
      </c>
    </row>
    <row r="178">
      <c r="A178" s="16" t="s">
        <v>304</v>
      </c>
      <c r="B178" s="30">
        <v>46044.00070443287</v>
      </c>
      <c r="C178" s="16" t="s">
        <v>127</v>
      </c>
      <c r="D178" s="23" t="s">
        <v>128</v>
      </c>
      <c r="E178" s="17">
        <v>4.0</v>
      </c>
    </row>
    <row r="179">
      <c r="A179" s="16" t="s">
        <v>305</v>
      </c>
      <c r="B179" s="30">
        <v>46044.00070443287</v>
      </c>
      <c r="C179" s="16" t="s">
        <v>127</v>
      </c>
      <c r="D179" s="23" t="s">
        <v>128</v>
      </c>
      <c r="E179" s="17">
        <v>4.0</v>
      </c>
    </row>
    <row r="180">
      <c r="A180" s="16" t="s">
        <v>306</v>
      </c>
      <c r="B180" s="30">
        <v>46044.00070443287</v>
      </c>
      <c r="C180" s="16" t="s">
        <v>127</v>
      </c>
      <c r="D180" s="23" t="s">
        <v>128</v>
      </c>
      <c r="E180" s="17">
        <v>4.0</v>
      </c>
    </row>
    <row r="181">
      <c r="A181" s="16" t="s">
        <v>307</v>
      </c>
      <c r="B181" s="30">
        <v>46044.00070443287</v>
      </c>
      <c r="C181" s="16" t="s">
        <v>127</v>
      </c>
      <c r="D181" s="23" t="s">
        <v>128</v>
      </c>
      <c r="E181" s="17">
        <v>4.0</v>
      </c>
    </row>
    <row r="182">
      <c r="A182" s="16" t="s">
        <v>308</v>
      </c>
      <c r="B182" s="30">
        <v>46044.00070443287</v>
      </c>
      <c r="C182" s="16" t="s">
        <v>127</v>
      </c>
      <c r="D182" s="23" t="s">
        <v>128</v>
      </c>
      <c r="E182" s="17">
        <v>4.0</v>
      </c>
    </row>
    <row r="183">
      <c r="A183" s="16" t="s">
        <v>309</v>
      </c>
      <c r="B183" s="30">
        <v>46044.00070443287</v>
      </c>
      <c r="C183" s="16" t="s">
        <v>127</v>
      </c>
      <c r="D183" s="23" t="s">
        <v>128</v>
      </c>
      <c r="E183" s="17">
        <v>4.0</v>
      </c>
    </row>
    <row r="184">
      <c r="A184" s="16" t="s">
        <v>310</v>
      </c>
      <c r="B184" s="30">
        <v>46044.00070443287</v>
      </c>
      <c r="C184" s="16" t="s">
        <v>127</v>
      </c>
      <c r="D184" s="23" t="s">
        <v>128</v>
      </c>
      <c r="E184" s="17">
        <v>4.0</v>
      </c>
    </row>
    <row r="185">
      <c r="A185" s="16" t="s">
        <v>311</v>
      </c>
      <c r="B185" s="30">
        <v>46044.00070443287</v>
      </c>
      <c r="C185" s="16" t="s">
        <v>127</v>
      </c>
      <c r="D185" s="23" t="s">
        <v>128</v>
      </c>
      <c r="E185" s="17">
        <v>4.0</v>
      </c>
    </row>
    <row r="186">
      <c r="A186" s="16" t="s">
        <v>312</v>
      </c>
      <c r="B186" s="30">
        <v>46044.00070443287</v>
      </c>
      <c r="C186" s="16" t="s">
        <v>127</v>
      </c>
      <c r="D186" s="23" t="s">
        <v>128</v>
      </c>
      <c r="E186" s="17">
        <v>4.0</v>
      </c>
    </row>
    <row r="187">
      <c r="A187" s="16" t="s">
        <v>313</v>
      </c>
      <c r="B187" s="30">
        <v>46044.00070443287</v>
      </c>
      <c r="C187" s="16" t="s">
        <v>127</v>
      </c>
      <c r="D187" s="23" t="s">
        <v>128</v>
      </c>
      <c r="E187" s="17">
        <v>4.0</v>
      </c>
    </row>
    <row r="188">
      <c r="A188" s="16" t="s">
        <v>314</v>
      </c>
      <c r="B188" s="30">
        <v>46044.00070443287</v>
      </c>
      <c r="C188" s="16" t="s">
        <v>127</v>
      </c>
      <c r="D188" s="23" t="s">
        <v>128</v>
      </c>
      <c r="E188" s="17">
        <v>4.0</v>
      </c>
    </row>
    <row r="189">
      <c r="A189" s="16" t="s">
        <v>315</v>
      </c>
      <c r="B189" s="30">
        <v>46044.00070443287</v>
      </c>
      <c r="C189" s="16" t="s">
        <v>127</v>
      </c>
      <c r="D189" s="23" t="s">
        <v>128</v>
      </c>
      <c r="E189" s="17">
        <v>4.0</v>
      </c>
    </row>
    <row r="190">
      <c r="A190" s="16" t="s">
        <v>316</v>
      </c>
      <c r="B190" s="30">
        <v>46044.00070443287</v>
      </c>
      <c r="C190" s="16" t="s">
        <v>127</v>
      </c>
      <c r="D190" s="23" t="s">
        <v>128</v>
      </c>
      <c r="E190" s="17">
        <v>4.0</v>
      </c>
    </row>
    <row r="191">
      <c r="A191" s="16" t="s">
        <v>317</v>
      </c>
      <c r="B191" s="30">
        <v>46044.00070443287</v>
      </c>
      <c r="C191" s="16" t="s">
        <v>127</v>
      </c>
      <c r="D191" s="23" t="s">
        <v>128</v>
      </c>
      <c r="E191" s="17">
        <v>4.0</v>
      </c>
    </row>
    <row r="192">
      <c r="A192" s="16" t="s">
        <v>318</v>
      </c>
      <c r="B192" s="30">
        <v>46044.00070443287</v>
      </c>
      <c r="C192" s="16" t="s">
        <v>127</v>
      </c>
      <c r="D192" s="23" t="s">
        <v>128</v>
      </c>
      <c r="E192" s="17">
        <v>4.0</v>
      </c>
    </row>
    <row r="193">
      <c r="A193" s="16" t="s">
        <v>319</v>
      </c>
      <c r="B193" s="30">
        <v>46044.00070443287</v>
      </c>
      <c r="C193" s="16" t="s">
        <v>127</v>
      </c>
      <c r="D193" s="23" t="s">
        <v>128</v>
      </c>
      <c r="E193" s="17">
        <v>4.0</v>
      </c>
    </row>
    <row r="194">
      <c r="A194" s="16" t="s">
        <v>320</v>
      </c>
      <c r="B194" s="30">
        <v>46044.00070443287</v>
      </c>
      <c r="C194" s="16" t="s">
        <v>127</v>
      </c>
      <c r="D194" s="23" t="s">
        <v>128</v>
      </c>
      <c r="E194" s="17">
        <v>4.0</v>
      </c>
    </row>
    <row r="195">
      <c r="A195" s="16" t="s">
        <v>321</v>
      </c>
      <c r="B195" s="30">
        <v>46044.00070443287</v>
      </c>
      <c r="C195" s="16" t="s">
        <v>127</v>
      </c>
      <c r="D195" s="23" t="s">
        <v>128</v>
      </c>
      <c r="E195" s="17">
        <v>4.0</v>
      </c>
    </row>
    <row r="196">
      <c r="A196" s="16" t="s">
        <v>322</v>
      </c>
      <c r="B196" s="30">
        <v>46044.00070443287</v>
      </c>
      <c r="C196" s="16" t="s">
        <v>127</v>
      </c>
      <c r="D196" s="23" t="s">
        <v>128</v>
      </c>
      <c r="E196" s="17">
        <v>4.0</v>
      </c>
    </row>
    <row r="197">
      <c r="A197" s="16" t="s">
        <v>323</v>
      </c>
      <c r="B197" s="30">
        <v>46044.00070443287</v>
      </c>
      <c r="C197" s="16" t="s">
        <v>127</v>
      </c>
      <c r="D197" s="23" t="s">
        <v>128</v>
      </c>
      <c r="E197" s="17">
        <v>4.0</v>
      </c>
    </row>
    <row r="198">
      <c r="A198" s="16" t="s">
        <v>324</v>
      </c>
      <c r="B198" s="30">
        <v>46044.00070443287</v>
      </c>
      <c r="C198" s="16" t="s">
        <v>127</v>
      </c>
      <c r="D198" s="23" t="s">
        <v>128</v>
      </c>
      <c r="E198" s="17">
        <v>4.0</v>
      </c>
    </row>
    <row r="199">
      <c r="A199" s="16" t="s">
        <v>325</v>
      </c>
      <c r="B199" s="30">
        <v>46044.00070443287</v>
      </c>
      <c r="C199" s="16" t="s">
        <v>127</v>
      </c>
      <c r="D199" s="23" t="s">
        <v>128</v>
      </c>
      <c r="E199" s="17">
        <v>4.0</v>
      </c>
    </row>
    <row r="200">
      <c r="A200" s="16" t="s">
        <v>326</v>
      </c>
      <c r="B200" s="30">
        <v>46044.00070443287</v>
      </c>
      <c r="C200" s="16" t="s">
        <v>127</v>
      </c>
      <c r="D200" s="23" t="s">
        <v>128</v>
      </c>
      <c r="E200" s="17">
        <v>4.0</v>
      </c>
    </row>
    <row r="201">
      <c r="A201" s="16" t="s">
        <v>327</v>
      </c>
      <c r="B201" s="30">
        <v>46044.00070443287</v>
      </c>
      <c r="C201" s="16" t="s">
        <v>127</v>
      </c>
      <c r="D201" s="23" t="s">
        <v>128</v>
      </c>
      <c r="E201" s="17">
        <v>4.0</v>
      </c>
    </row>
    <row r="202">
      <c r="A202" s="16" t="s">
        <v>328</v>
      </c>
      <c r="B202" s="30">
        <v>46044.00070443287</v>
      </c>
      <c r="C202" s="16" t="s">
        <v>127</v>
      </c>
      <c r="D202" s="23" t="s">
        <v>128</v>
      </c>
      <c r="E202" s="17">
        <v>4.0</v>
      </c>
    </row>
    <row r="203">
      <c r="A203" s="16" t="s">
        <v>329</v>
      </c>
      <c r="B203" s="30">
        <v>46044.00070443287</v>
      </c>
      <c r="C203" s="16" t="s">
        <v>127</v>
      </c>
      <c r="D203" s="23" t="s">
        <v>128</v>
      </c>
      <c r="E203" s="17">
        <v>4.0</v>
      </c>
    </row>
    <row r="204">
      <c r="A204" s="16" t="s">
        <v>330</v>
      </c>
      <c r="B204" s="30">
        <v>46044.00070443287</v>
      </c>
      <c r="C204" s="16" t="s">
        <v>127</v>
      </c>
      <c r="D204" s="23" t="s">
        <v>128</v>
      </c>
      <c r="E204" s="17">
        <v>4.0</v>
      </c>
    </row>
    <row r="205">
      <c r="A205" s="16" t="s">
        <v>331</v>
      </c>
      <c r="B205" s="30">
        <v>46044.00070443287</v>
      </c>
      <c r="C205" s="16" t="s">
        <v>127</v>
      </c>
      <c r="D205" s="23" t="s">
        <v>128</v>
      </c>
      <c r="E205" s="17">
        <v>4.0</v>
      </c>
    </row>
    <row r="206">
      <c r="A206" s="16" t="s">
        <v>332</v>
      </c>
      <c r="B206" s="30">
        <v>46044.00070443287</v>
      </c>
      <c r="C206" s="16" t="s">
        <v>127</v>
      </c>
      <c r="D206" s="23" t="s">
        <v>128</v>
      </c>
      <c r="E206" s="17">
        <v>4.0</v>
      </c>
    </row>
    <row r="207">
      <c r="A207" s="16" t="s">
        <v>333</v>
      </c>
      <c r="B207" s="30">
        <v>46044.00070443287</v>
      </c>
      <c r="C207" s="16" t="s">
        <v>127</v>
      </c>
      <c r="D207" s="23" t="s">
        <v>128</v>
      </c>
      <c r="E207" s="17">
        <v>4.0</v>
      </c>
    </row>
    <row r="208">
      <c r="A208" s="16" t="s">
        <v>334</v>
      </c>
      <c r="B208" s="30">
        <v>46044.00070443287</v>
      </c>
      <c r="C208" s="16" t="s">
        <v>127</v>
      </c>
      <c r="D208" s="23" t="s">
        <v>128</v>
      </c>
      <c r="E208" s="17">
        <v>4.0</v>
      </c>
    </row>
    <row r="209">
      <c r="A209" s="16" t="s">
        <v>335</v>
      </c>
      <c r="B209" s="30">
        <v>46044.00070443287</v>
      </c>
      <c r="C209" s="16" t="s">
        <v>127</v>
      </c>
      <c r="D209" s="23" t="s">
        <v>128</v>
      </c>
      <c r="E209" s="17">
        <v>4.0</v>
      </c>
    </row>
    <row r="210">
      <c r="A210" s="16" t="s">
        <v>336</v>
      </c>
      <c r="B210" s="30">
        <v>46044.00070443287</v>
      </c>
      <c r="C210" s="16" t="s">
        <v>127</v>
      </c>
      <c r="D210" s="23" t="s">
        <v>128</v>
      </c>
      <c r="E210" s="17">
        <v>4.0</v>
      </c>
    </row>
    <row r="211">
      <c r="A211" s="16" t="s">
        <v>337</v>
      </c>
      <c r="B211" s="30">
        <v>46044.00070443287</v>
      </c>
      <c r="C211" s="16" t="s">
        <v>127</v>
      </c>
      <c r="D211" s="23" t="s">
        <v>128</v>
      </c>
      <c r="E211" s="17">
        <v>4.0</v>
      </c>
    </row>
    <row r="212">
      <c r="A212" s="16" t="s">
        <v>338</v>
      </c>
      <c r="B212" s="30">
        <v>46044.00070443287</v>
      </c>
      <c r="C212" s="16" t="s">
        <v>127</v>
      </c>
      <c r="D212" s="23" t="s">
        <v>128</v>
      </c>
      <c r="E212" s="17">
        <v>4.0</v>
      </c>
    </row>
    <row r="213">
      <c r="A213" s="16" t="s">
        <v>339</v>
      </c>
      <c r="B213" s="30">
        <v>46044.00070443287</v>
      </c>
      <c r="C213" s="16" t="s">
        <v>127</v>
      </c>
      <c r="D213" s="23" t="s">
        <v>128</v>
      </c>
      <c r="E213" s="17">
        <v>4.0</v>
      </c>
    </row>
    <row r="214">
      <c r="A214" s="16" t="s">
        <v>340</v>
      </c>
      <c r="B214" s="30">
        <v>46044.00070443287</v>
      </c>
      <c r="C214" s="16" t="s">
        <v>127</v>
      </c>
      <c r="D214" s="23" t="s">
        <v>128</v>
      </c>
      <c r="E214" s="17">
        <v>4.0</v>
      </c>
    </row>
    <row r="215">
      <c r="A215" s="16" t="s">
        <v>341</v>
      </c>
      <c r="B215" s="30">
        <v>46044.00070443287</v>
      </c>
      <c r="C215" s="16" t="s">
        <v>127</v>
      </c>
      <c r="D215" s="23" t="s">
        <v>128</v>
      </c>
      <c r="E215" s="17">
        <v>4.0</v>
      </c>
    </row>
    <row r="216">
      <c r="A216" s="16" t="s">
        <v>342</v>
      </c>
      <c r="B216" s="30">
        <v>46044.00070443287</v>
      </c>
      <c r="C216" s="16" t="s">
        <v>127</v>
      </c>
      <c r="D216" s="23" t="s">
        <v>128</v>
      </c>
      <c r="E216" s="17">
        <v>4.0</v>
      </c>
    </row>
    <row r="217">
      <c r="A217" s="16" t="s">
        <v>343</v>
      </c>
      <c r="B217" s="30">
        <v>46044.00070443287</v>
      </c>
      <c r="C217" s="16" t="s">
        <v>127</v>
      </c>
      <c r="D217" s="23" t="s">
        <v>128</v>
      </c>
      <c r="E217" s="17">
        <v>4.0</v>
      </c>
    </row>
    <row r="218">
      <c r="A218" s="16" t="s">
        <v>344</v>
      </c>
      <c r="B218" s="30">
        <v>46044.00070443287</v>
      </c>
      <c r="C218" s="16" t="s">
        <v>127</v>
      </c>
      <c r="D218" s="23" t="s">
        <v>128</v>
      </c>
      <c r="E218" s="17">
        <v>4.0</v>
      </c>
    </row>
    <row r="219">
      <c r="A219" s="16" t="s">
        <v>345</v>
      </c>
      <c r="B219" s="30">
        <v>46044.00070443287</v>
      </c>
      <c r="C219" s="16" t="s">
        <v>127</v>
      </c>
      <c r="D219" s="23" t="s">
        <v>128</v>
      </c>
      <c r="E219" s="17">
        <v>4.0</v>
      </c>
    </row>
    <row r="220">
      <c r="A220" s="16" t="s">
        <v>346</v>
      </c>
      <c r="B220" s="30">
        <v>46044.00070443287</v>
      </c>
      <c r="C220" s="16" t="s">
        <v>127</v>
      </c>
      <c r="D220" s="23" t="s">
        <v>128</v>
      </c>
      <c r="E220" s="17">
        <v>4.0</v>
      </c>
    </row>
    <row r="221">
      <c r="A221" s="16" t="s">
        <v>347</v>
      </c>
      <c r="B221" s="30">
        <v>46044.00070443287</v>
      </c>
      <c r="C221" s="16" t="s">
        <v>127</v>
      </c>
      <c r="D221" s="23" t="s">
        <v>128</v>
      </c>
      <c r="E221" s="17">
        <v>4.0</v>
      </c>
    </row>
    <row r="222">
      <c r="A222" s="16" t="s">
        <v>348</v>
      </c>
      <c r="B222" s="30">
        <v>46044.00070443287</v>
      </c>
      <c r="C222" s="16" t="s">
        <v>127</v>
      </c>
      <c r="D222" s="23" t="s">
        <v>128</v>
      </c>
      <c r="E222" s="17">
        <v>4.0</v>
      </c>
    </row>
    <row r="223">
      <c r="A223" s="16" t="s">
        <v>349</v>
      </c>
      <c r="B223" s="30">
        <v>46044.00070443287</v>
      </c>
      <c r="C223" s="16" t="s">
        <v>127</v>
      </c>
      <c r="D223" s="23" t="s">
        <v>128</v>
      </c>
      <c r="E223" s="17">
        <v>4.0</v>
      </c>
    </row>
    <row r="224">
      <c r="A224" s="16" t="s">
        <v>350</v>
      </c>
      <c r="B224" s="30">
        <v>46044.00070443287</v>
      </c>
      <c r="C224" s="16" t="s">
        <v>127</v>
      </c>
      <c r="D224" s="23" t="s">
        <v>128</v>
      </c>
      <c r="E224" s="17">
        <v>4.0</v>
      </c>
    </row>
    <row r="225">
      <c r="A225" s="16" t="s">
        <v>351</v>
      </c>
      <c r="B225" s="30">
        <v>46044.00070443287</v>
      </c>
      <c r="C225" s="16" t="s">
        <v>127</v>
      </c>
      <c r="D225" s="23" t="s">
        <v>128</v>
      </c>
      <c r="E225" s="17">
        <v>4.0</v>
      </c>
    </row>
    <row r="226">
      <c r="A226" s="16" t="s">
        <v>352</v>
      </c>
      <c r="B226" s="30">
        <v>46044.00070443287</v>
      </c>
      <c r="C226" s="16" t="s">
        <v>127</v>
      </c>
      <c r="D226" s="23" t="s">
        <v>128</v>
      </c>
      <c r="E226" s="17">
        <v>4.0</v>
      </c>
    </row>
    <row r="227">
      <c r="A227" s="16" t="s">
        <v>353</v>
      </c>
      <c r="B227" s="30">
        <v>46044.00070443287</v>
      </c>
      <c r="C227" s="16" t="s">
        <v>127</v>
      </c>
      <c r="D227" s="23" t="s">
        <v>128</v>
      </c>
      <c r="E227" s="17">
        <v>4.0</v>
      </c>
    </row>
    <row r="228">
      <c r="A228" s="16" t="s">
        <v>354</v>
      </c>
      <c r="B228" s="30">
        <v>46044.00070443287</v>
      </c>
      <c r="C228" s="16" t="s">
        <v>127</v>
      </c>
      <c r="D228" s="23" t="s">
        <v>128</v>
      </c>
      <c r="E228" s="17">
        <v>4.0</v>
      </c>
    </row>
    <row r="229">
      <c r="A229" s="16" t="s">
        <v>355</v>
      </c>
      <c r="B229" s="30">
        <v>46044.00070443287</v>
      </c>
      <c r="C229" s="16" t="s">
        <v>127</v>
      </c>
      <c r="D229" s="23" t="s">
        <v>128</v>
      </c>
      <c r="E229" s="17">
        <v>4.0</v>
      </c>
    </row>
    <row r="230">
      <c r="A230" s="16" t="s">
        <v>356</v>
      </c>
      <c r="B230" s="30">
        <v>46044.00070443287</v>
      </c>
      <c r="C230" s="16" t="s">
        <v>127</v>
      </c>
      <c r="D230" s="23" t="s">
        <v>128</v>
      </c>
      <c r="E230" s="17">
        <v>4.0</v>
      </c>
    </row>
    <row r="231">
      <c r="A231" s="16" t="s">
        <v>357</v>
      </c>
      <c r="B231" s="30">
        <v>46044.00070443287</v>
      </c>
      <c r="C231" s="16" t="s">
        <v>127</v>
      </c>
      <c r="D231" s="23" t="s">
        <v>128</v>
      </c>
      <c r="E231" s="17">
        <v>4.0</v>
      </c>
    </row>
    <row r="232">
      <c r="A232" s="16" t="s">
        <v>358</v>
      </c>
      <c r="B232" s="30">
        <v>46044.00070443287</v>
      </c>
      <c r="C232" s="16" t="s">
        <v>127</v>
      </c>
      <c r="D232" s="23" t="s">
        <v>128</v>
      </c>
      <c r="E232" s="17">
        <v>4.0</v>
      </c>
    </row>
    <row r="233">
      <c r="A233" s="16" t="s">
        <v>359</v>
      </c>
      <c r="B233" s="30">
        <v>46044.00070443287</v>
      </c>
      <c r="C233" s="16" t="s">
        <v>127</v>
      </c>
      <c r="D233" s="23" t="s">
        <v>128</v>
      </c>
      <c r="E233" s="17">
        <v>4.0</v>
      </c>
    </row>
    <row r="234">
      <c r="A234" s="16" t="s">
        <v>360</v>
      </c>
      <c r="B234" s="30">
        <v>46044.00070443287</v>
      </c>
      <c r="C234" s="16" t="s">
        <v>127</v>
      </c>
      <c r="D234" s="23" t="s">
        <v>128</v>
      </c>
      <c r="E234" s="17">
        <v>4.0</v>
      </c>
    </row>
    <row r="235">
      <c r="A235" s="16" t="s">
        <v>361</v>
      </c>
      <c r="B235" s="30">
        <v>46044.00070443287</v>
      </c>
      <c r="C235" s="16" t="s">
        <v>127</v>
      </c>
      <c r="D235" s="23" t="s">
        <v>128</v>
      </c>
      <c r="E235" s="17">
        <v>4.0</v>
      </c>
    </row>
    <row r="236">
      <c r="A236" s="16" t="s">
        <v>362</v>
      </c>
      <c r="B236" s="30">
        <v>46044.00070443287</v>
      </c>
      <c r="C236" s="16" t="s">
        <v>127</v>
      </c>
      <c r="D236" s="23" t="s">
        <v>128</v>
      </c>
      <c r="E236" s="17">
        <v>4.0</v>
      </c>
    </row>
    <row r="237">
      <c r="A237" s="16" t="s">
        <v>363</v>
      </c>
      <c r="B237" s="30">
        <v>46044.00070443287</v>
      </c>
      <c r="C237" s="16" t="s">
        <v>127</v>
      </c>
      <c r="D237" s="23" t="s">
        <v>128</v>
      </c>
      <c r="E237" s="17">
        <v>4.0</v>
      </c>
    </row>
    <row r="238">
      <c r="A238" s="16" t="s">
        <v>364</v>
      </c>
      <c r="B238" s="30">
        <v>46044.00070443287</v>
      </c>
      <c r="C238" s="16" t="s">
        <v>127</v>
      </c>
      <c r="D238" s="23" t="s">
        <v>128</v>
      </c>
      <c r="E238" s="17">
        <v>4.0</v>
      </c>
    </row>
    <row r="239">
      <c r="A239" s="16" t="s">
        <v>365</v>
      </c>
      <c r="B239" s="30">
        <v>46044.00070443287</v>
      </c>
      <c r="C239" s="16" t="s">
        <v>127</v>
      </c>
      <c r="D239" s="23" t="s">
        <v>128</v>
      </c>
      <c r="E239" s="17">
        <v>4.0</v>
      </c>
    </row>
    <row r="240">
      <c r="A240" s="16" t="s">
        <v>366</v>
      </c>
      <c r="B240" s="30">
        <v>46044.00070443287</v>
      </c>
      <c r="C240" s="16" t="s">
        <v>127</v>
      </c>
      <c r="D240" s="23" t="s">
        <v>128</v>
      </c>
      <c r="E240" s="17">
        <v>4.0</v>
      </c>
    </row>
    <row r="241">
      <c r="A241" s="16" t="s">
        <v>367</v>
      </c>
      <c r="B241" s="30">
        <v>46044.00070444444</v>
      </c>
      <c r="C241" s="16" t="s">
        <v>127</v>
      </c>
      <c r="D241" s="23" t="s">
        <v>128</v>
      </c>
      <c r="E241" s="17">
        <v>4.0</v>
      </c>
    </row>
    <row r="242">
      <c r="A242" s="16" t="s">
        <v>368</v>
      </c>
      <c r="B242" s="30">
        <v>46044.00070444444</v>
      </c>
      <c r="C242" s="16" t="s">
        <v>127</v>
      </c>
      <c r="D242" s="23" t="s">
        <v>128</v>
      </c>
      <c r="E242" s="17">
        <v>4.0</v>
      </c>
    </row>
    <row r="243">
      <c r="A243" s="16" t="s">
        <v>369</v>
      </c>
      <c r="B243" s="30">
        <v>46044.00070444444</v>
      </c>
      <c r="C243" s="16" t="s">
        <v>127</v>
      </c>
      <c r="D243" s="23" t="s">
        <v>128</v>
      </c>
      <c r="E243" s="17">
        <v>4.0</v>
      </c>
    </row>
    <row r="244">
      <c r="A244" s="16" t="s">
        <v>370</v>
      </c>
      <c r="B244" s="30">
        <v>46044.00070444444</v>
      </c>
      <c r="C244" s="16" t="s">
        <v>127</v>
      </c>
      <c r="D244" s="23" t="s">
        <v>128</v>
      </c>
      <c r="E244" s="17">
        <v>4.0</v>
      </c>
    </row>
    <row r="245">
      <c r="A245" s="16" t="s">
        <v>371</v>
      </c>
      <c r="B245" s="30">
        <v>46044.00070444444</v>
      </c>
      <c r="C245" s="16" t="s">
        <v>127</v>
      </c>
      <c r="D245" s="23" t="s">
        <v>128</v>
      </c>
      <c r="E245" s="17">
        <v>4.0</v>
      </c>
    </row>
    <row r="246">
      <c r="A246" s="16" t="s">
        <v>372</v>
      </c>
      <c r="B246" s="30">
        <v>46044.00070444444</v>
      </c>
      <c r="C246" s="16" t="s">
        <v>127</v>
      </c>
      <c r="D246" s="23" t="s">
        <v>128</v>
      </c>
      <c r="E246" s="17">
        <v>4.0</v>
      </c>
    </row>
    <row r="247">
      <c r="A247" s="16" t="s">
        <v>373</v>
      </c>
      <c r="B247" s="30">
        <v>46044.00070444444</v>
      </c>
      <c r="C247" s="16" t="s">
        <v>127</v>
      </c>
      <c r="D247" s="23" t="s">
        <v>128</v>
      </c>
      <c r="E247" s="17">
        <v>4.0</v>
      </c>
    </row>
    <row r="248">
      <c r="A248" s="16" t="s">
        <v>374</v>
      </c>
      <c r="B248" s="30">
        <v>46044.00070444444</v>
      </c>
      <c r="C248" s="16" t="s">
        <v>127</v>
      </c>
      <c r="D248" s="23" t="s">
        <v>128</v>
      </c>
      <c r="E248" s="17">
        <v>4.0</v>
      </c>
    </row>
    <row r="249">
      <c r="A249" s="16" t="s">
        <v>375</v>
      </c>
      <c r="B249" s="30">
        <v>46044.00070444444</v>
      </c>
      <c r="C249" s="16" t="s">
        <v>127</v>
      </c>
      <c r="D249" s="23" t="s">
        <v>128</v>
      </c>
      <c r="E249" s="17">
        <v>4.0</v>
      </c>
    </row>
    <row r="250">
      <c r="A250" s="16" t="s">
        <v>376</v>
      </c>
      <c r="B250" s="30">
        <v>46044.00070444444</v>
      </c>
      <c r="C250" s="16" t="s">
        <v>127</v>
      </c>
      <c r="D250" s="23" t="s">
        <v>128</v>
      </c>
      <c r="E250" s="17">
        <v>4.0</v>
      </c>
    </row>
    <row r="251">
      <c r="A251" s="16" t="s">
        <v>377</v>
      </c>
      <c r="B251" s="30">
        <v>46044.00070444444</v>
      </c>
      <c r="C251" s="16" t="s">
        <v>127</v>
      </c>
      <c r="D251" s="23" t="s">
        <v>128</v>
      </c>
      <c r="E251" s="17">
        <v>4.0</v>
      </c>
    </row>
    <row r="252">
      <c r="A252" s="16" t="s">
        <v>378</v>
      </c>
      <c r="B252" s="30">
        <v>46044.00070444444</v>
      </c>
      <c r="C252" s="16" t="s">
        <v>127</v>
      </c>
      <c r="D252" s="23" t="s">
        <v>128</v>
      </c>
      <c r="E252" s="17">
        <v>4.0</v>
      </c>
    </row>
    <row r="253">
      <c r="A253" s="16" t="s">
        <v>379</v>
      </c>
      <c r="B253" s="30">
        <v>46044.00070444444</v>
      </c>
      <c r="C253" s="16" t="s">
        <v>127</v>
      </c>
      <c r="D253" s="23" t="s">
        <v>128</v>
      </c>
      <c r="E253" s="17">
        <v>4.0</v>
      </c>
    </row>
    <row r="254">
      <c r="A254" s="16" t="s">
        <v>380</v>
      </c>
      <c r="B254" s="30">
        <v>46044.00070444444</v>
      </c>
      <c r="C254" s="16" t="s">
        <v>127</v>
      </c>
      <c r="D254" s="23" t="s">
        <v>128</v>
      </c>
      <c r="E254" s="17">
        <v>4.0</v>
      </c>
    </row>
    <row r="255">
      <c r="A255" s="16" t="s">
        <v>381</v>
      </c>
      <c r="B255" s="30">
        <v>46044.00070444444</v>
      </c>
      <c r="C255" s="16" t="s">
        <v>127</v>
      </c>
      <c r="D255" s="23" t="s">
        <v>128</v>
      </c>
      <c r="E255" s="17">
        <v>4.0</v>
      </c>
    </row>
    <row r="256">
      <c r="A256" s="16" t="s">
        <v>382</v>
      </c>
      <c r="B256" s="30">
        <v>46044.00070444444</v>
      </c>
      <c r="C256" s="16" t="s">
        <v>127</v>
      </c>
      <c r="D256" s="23" t="s">
        <v>128</v>
      </c>
      <c r="E256" s="17">
        <v>4.0</v>
      </c>
    </row>
    <row r="257">
      <c r="A257" s="16" t="s">
        <v>383</v>
      </c>
      <c r="B257" s="30">
        <v>46044.00070444444</v>
      </c>
      <c r="C257" s="16" t="s">
        <v>127</v>
      </c>
      <c r="D257" s="23" t="s">
        <v>128</v>
      </c>
      <c r="E257" s="17">
        <v>4.0</v>
      </c>
    </row>
    <row r="258">
      <c r="A258" s="16" t="s">
        <v>384</v>
      </c>
      <c r="B258" s="30">
        <v>46044.00070444444</v>
      </c>
      <c r="C258" s="16" t="s">
        <v>127</v>
      </c>
      <c r="D258" s="23" t="s">
        <v>128</v>
      </c>
      <c r="E258" s="17">
        <v>4.0</v>
      </c>
    </row>
    <row r="259">
      <c r="A259" s="16" t="s">
        <v>385</v>
      </c>
      <c r="B259" s="30">
        <v>46044.00070444444</v>
      </c>
      <c r="C259" s="16" t="s">
        <v>127</v>
      </c>
      <c r="D259" s="23" t="s">
        <v>128</v>
      </c>
      <c r="E259" s="17">
        <v>4.0</v>
      </c>
    </row>
    <row r="260">
      <c r="A260" s="16" t="s">
        <v>386</v>
      </c>
      <c r="B260" s="30">
        <v>46044.00070444444</v>
      </c>
      <c r="C260" s="16" t="s">
        <v>127</v>
      </c>
      <c r="D260" s="23" t="s">
        <v>128</v>
      </c>
      <c r="E260" s="17">
        <v>4.0</v>
      </c>
    </row>
    <row r="261">
      <c r="A261" s="16" t="s">
        <v>387</v>
      </c>
      <c r="B261" s="30">
        <v>46044.00070444444</v>
      </c>
      <c r="C261" s="16" t="s">
        <v>127</v>
      </c>
      <c r="D261" s="23" t="s">
        <v>128</v>
      </c>
      <c r="E261" s="17">
        <v>4.0</v>
      </c>
    </row>
    <row r="262">
      <c r="A262" s="16" t="s">
        <v>388</v>
      </c>
      <c r="B262" s="30">
        <v>46044.00070444444</v>
      </c>
      <c r="C262" s="16" t="s">
        <v>127</v>
      </c>
      <c r="D262" s="23" t="s">
        <v>128</v>
      </c>
      <c r="E262" s="17">
        <v>4.0</v>
      </c>
    </row>
    <row r="263">
      <c r="A263" s="16" t="s">
        <v>389</v>
      </c>
      <c r="B263" s="30">
        <v>46044.00070444444</v>
      </c>
      <c r="C263" s="16" t="s">
        <v>127</v>
      </c>
      <c r="D263" s="23" t="s">
        <v>128</v>
      </c>
      <c r="E263" s="17">
        <v>4.0</v>
      </c>
    </row>
    <row r="264">
      <c r="A264" s="16" t="s">
        <v>390</v>
      </c>
      <c r="B264" s="30">
        <v>46044.00070444444</v>
      </c>
      <c r="C264" s="16" t="s">
        <v>127</v>
      </c>
      <c r="D264" s="23" t="s">
        <v>128</v>
      </c>
      <c r="E264" s="17">
        <v>4.0</v>
      </c>
    </row>
    <row r="265">
      <c r="A265" s="16" t="s">
        <v>391</v>
      </c>
      <c r="B265" s="30">
        <v>46044.00070444444</v>
      </c>
      <c r="C265" s="16" t="s">
        <v>127</v>
      </c>
      <c r="D265" s="23" t="s">
        <v>128</v>
      </c>
      <c r="E265" s="17">
        <v>4.0</v>
      </c>
    </row>
    <row r="266">
      <c r="A266" s="16" t="s">
        <v>392</v>
      </c>
      <c r="B266" s="30">
        <v>46044.00070444444</v>
      </c>
      <c r="C266" s="16" t="s">
        <v>127</v>
      </c>
      <c r="D266" s="23" t="s">
        <v>128</v>
      </c>
      <c r="E266" s="17">
        <v>4.0</v>
      </c>
    </row>
    <row r="267">
      <c r="A267" s="16" t="s">
        <v>393</v>
      </c>
      <c r="B267" s="30">
        <v>46044.00070444444</v>
      </c>
      <c r="C267" s="16" t="s">
        <v>127</v>
      </c>
      <c r="D267" s="23" t="s">
        <v>128</v>
      </c>
      <c r="E267" s="17">
        <v>4.0</v>
      </c>
    </row>
    <row r="268">
      <c r="A268" s="16" t="s">
        <v>394</v>
      </c>
      <c r="B268" s="30">
        <v>46044.00070444444</v>
      </c>
      <c r="C268" s="16" t="s">
        <v>127</v>
      </c>
      <c r="D268" s="23" t="s">
        <v>128</v>
      </c>
      <c r="E268" s="17">
        <v>4.0</v>
      </c>
    </row>
    <row r="269">
      <c r="A269" s="16" t="s">
        <v>395</v>
      </c>
      <c r="B269" s="30">
        <v>46044.00070444444</v>
      </c>
      <c r="C269" s="16" t="s">
        <v>127</v>
      </c>
      <c r="D269" s="23" t="s">
        <v>128</v>
      </c>
      <c r="E269" s="17">
        <v>4.0</v>
      </c>
    </row>
    <row r="270">
      <c r="A270" s="16" t="s">
        <v>396</v>
      </c>
      <c r="B270" s="30">
        <v>46044.00070444444</v>
      </c>
      <c r="C270" s="16" t="s">
        <v>127</v>
      </c>
      <c r="D270" s="23" t="s">
        <v>128</v>
      </c>
      <c r="E270" s="17">
        <v>4.0</v>
      </c>
    </row>
    <row r="271">
      <c r="A271" s="16" t="s">
        <v>397</v>
      </c>
      <c r="B271" s="30">
        <v>46044.00070444444</v>
      </c>
      <c r="C271" s="16" t="s">
        <v>127</v>
      </c>
      <c r="D271" s="23" t="s">
        <v>128</v>
      </c>
      <c r="E271" s="17">
        <v>4.0</v>
      </c>
    </row>
    <row r="272">
      <c r="A272" s="16" t="s">
        <v>398</v>
      </c>
      <c r="B272" s="30">
        <v>46044.00070444444</v>
      </c>
      <c r="C272" s="16" t="s">
        <v>127</v>
      </c>
      <c r="D272" s="23" t="s">
        <v>128</v>
      </c>
      <c r="E272" s="17">
        <v>4.0</v>
      </c>
    </row>
    <row r="273">
      <c r="A273" s="16" t="s">
        <v>399</v>
      </c>
      <c r="B273" s="30">
        <v>46044.00070444444</v>
      </c>
      <c r="C273" s="16" t="s">
        <v>127</v>
      </c>
      <c r="D273" s="23" t="s">
        <v>128</v>
      </c>
      <c r="E273" s="17">
        <v>4.0</v>
      </c>
    </row>
    <row r="274">
      <c r="A274" s="16" t="s">
        <v>400</v>
      </c>
      <c r="B274" s="30">
        <v>46044.00070444444</v>
      </c>
      <c r="C274" s="16" t="s">
        <v>127</v>
      </c>
      <c r="D274" s="23" t="s">
        <v>128</v>
      </c>
      <c r="E274" s="17">
        <v>4.0</v>
      </c>
    </row>
    <row r="275">
      <c r="A275" s="16" t="s">
        <v>401</v>
      </c>
      <c r="B275" s="30">
        <v>46044.00070444444</v>
      </c>
      <c r="C275" s="16" t="s">
        <v>127</v>
      </c>
      <c r="D275" s="23" t="s">
        <v>128</v>
      </c>
      <c r="E275" s="17">
        <v>4.0</v>
      </c>
    </row>
    <row r="276">
      <c r="A276" s="16" t="s">
        <v>402</v>
      </c>
      <c r="B276" s="30">
        <v>46044.00070444444</v>
      </c>
      <c r="C276" s="16" t="s">
        <v>127</v>
      </c>
      <c r="D276" s="23" t="s">
        <v>128</v>
      </c>
      <c r="E276" s="17">
        <v>4.0</v>
      </c>
    </row>
    <row r="277">
      <c r="A277" s="16" t="s">
        <v>403</v>
      </c>
      <c r="B277" s="30">
        <v>46044.00070444444</v>
      </c>
      <c r="C277" s="16" t="s">
        <v>127</v>
      </c>
      <c r="D277" s="23" t="s">
        <v>128</v>
      </c>
      <c r="E277" s="17">
        <v>4.0</v>
      </c>
    </row>
    <row r="278">
      <c r="A278" s="16" t="s">
        <v>404</v>
      </c>
      <c r="B278" s="30">
        <v>46044.00070444444</v>
      </c>
      <c r="C278" s="16" t="s">
        <v>127</v>
      </c>
      <c r="D278" s="23" t="s">
        <v>128</v>
      </c>
      <c r="E278" s="17">
        <v>4.0</v>
      </c>
    </row>
    <row r="279">
      <c r="A279" s="16" t="s">
        <v>405</v>
      </c>
      <c r="B279" s="30">
        <v>46044.00070444444</v>
      </c>
      <c r="C279" s="16" t="s">
        <v>127</v>
      </c>
      <c r="D279" s="23" t="s">
        <v>128</v>
      </c>
      <c r="E279" s="17">
        <v>4.0</v>
      </c>
    </row>
    <row r="280">
      <c r="A280" s="16" t="s">
        <v>406</v>
      </c>
      <c r="B280" s="30">
        <v>46044.00070444444</v>
      </c>
      <c r="C280" s="16" t="s">
        <v>127</v>
      </c>
      <c r="D280" s="23" t="s">
        <v>128</v>
      </c>
      <c r="E280" s="17">
        <v>4.0</v>
      </c>
    </row>
    <row r="281">
      <c r="A281" s="16" t="s">
        <v>407</v>
      </c>
      <c r="B281" s="30">
        <v>46044.00070444444</v>
      </c>
      <c r="C281" s="16" t="s">
        <v>127</v>
      </c>
      <c r="D281" s="23" t="s">
        <v>128</v>
      </c>
      <c r="E281" s="17">
        <v>4.0</v>
      </c>
    </row>
    <row r="282">
      <c r="A282" s="16" t="s">
        <v>408</v>
      </c>
      <c r="B282" s="30">
        <v>46044.00070444444</v>
      </c>
      <c r="C282" s="16" t="s">
        <v>127</v>
      </c>
      <c r="D282" s="23" t="s">
        <v>128</v>
      </c>
      <c r="E282" s="17">
        <v>4.0</v>
      </c>
    </row>
    <row r="283">
      <c r="A283" s="16" t="s">
        <v>409</v>
      </c>
      <c r="B283" s="30">
        <v>46044.00070444444</v>
      </c>
      <c r="C283" s="16" t="s">
        <v>127</v>
      </c>
      <c r="D283" s="23" t="s">
        <v>128</v>
      </c>
      <c r="E283" s="17">
        <v>4.0</v>
      </c>
    </row>
    <row r="284">
      <c r="A284" s="16" t="s">
        <v>410</v>
      </c>
      <c r="B284" s="30">
        <v>46044.00070444444</v>
      </c>
      <c r="C284" s="16" t="s">
        <v>127</v>
      </c>
      <c r="D284" s="23" t="s">
        <v>128</v>
      </c>
      <c r="E284" s="17">
        <v>4.0</v>
      </c>
    </row>
    <row r="285">
      <c r="A285" s="16" t="s">
        <v>411</v>
      </c>
      <c r="B285" s="30">
        <v>46044.00070444444</v>
      </c>
      <c r="C285" s="16" t="s">
        <v>127</v>
      </c>
      <c r="D285" s="23" t="s">
        <v>128</v>
      </c>
      <c r="E285" s="17">
        <v>4.0</v>
      </c>
    </row>
    <row r="286">
      <c r="A286" s="16" t="s">
        <v>412</v>
      </c>
      <c r="B286" s="30">
        <v>46044.00070444444</v>
      </c>
      <c r="C286" s="16" t="s">
        <v>127</v>
      </c>
      <c r="D286" s="23" t="s">
        <v>128</v>
      </c>
      <c r="E286" s="17">
        <v>4.0</v>
      </c>
    </row>
    <row r="287">
      <c r="A287" s="16" t="s">
        <v>413</v>
      </c>
      <c r="B287" s="30">
        <v>46044.00070444444</v>
      </c>
      <c r="C287" s="16" t="s">
        <v>127</v>
      </c>
      <c r="D287" s="23" t="s">
        <v>128</v>
      </c>
      <c r="E287" s="17">
        <v>4.0</v>
      </c>
    </row>
    <row r="288">
      <c r="A288" s="16" t="s">
        <v>414</v>
      </c>
      <c r="B288" s="30">
        <v>46044.00070444444</v>
      </c>
      <c r="C288" s="16" t="s">
        <v>127</v>
      </c>
      <c r="D288" s="23" t="s">
        <v>128</v>
      </c>
      <c r="E288" s="17">
        <v>4.0</v>
      </c>
    </row>
    <row r="289">
      <c r="A289" s="16" t="s">
        <v>415</v>
      </c>
      <c r="B289" s="30">
        <v>46044.00070444444</v>
      </c>
      <c r="C289" s="16" t="s">
        <v>127</v>
      </c>
      <c r="D289" s="23" t="s">
        <v>128</v>
      </c>
      <c r="E289" s="17">
        <v>4.0</v>
      </c>
    </row>
    <row r="290">
      <c r="A290" s="16" t="s">
        <v>416</v>
      </c>
      <c r="B290" s="30">
        <v>46044.00070444444</v>
      </c>
      <c r="C290" s="16" t="s">
        <v>127</v>
      </c>
      <c r="D290" s="23" t="s">
        <v>128</v>
      </c>
      <c r="E290" s="17">
        <v>4.0</v>
      </c>
    </row>
    <row r="291">
      <c r="A291" s="16" t="s">
        <v>417</v>
      </c>
      <c r="B291" s="30">
        <v>46044.00070444444</v>
      </c>
      <c r="C291" s="16" t="s">
        <v>127</v>
      </c>
      <c r="D291" s="23" t="s">
        <v>128</v>
      </c>
      <c r="E291" s="17">
        <v>4.0</v>
      </c>
    </row>
    <row r="292">
      <c r="A292" s="16" t="s">
        <v>418</v>
      </c>
      <c r="B292" s="30">
        <v>46044.00070444444</v>
      </c>
      <c r="C292" s="16" t="s">
        <v>127</v>
      </c>
      <c r="D292" s="23" t="s">
        <v>128</v>
      </c>
      <c r="E292" s="17">
        <v>4.0</v>
      </c>
    </row>
    <row r="293">
      <c r="A293" s="16" t="s">
        <v>419</v>
      </c>
      <c r="B293" s="30">
        <v>46044.00070444444</v>
      </c>
      <c r="C293" s="16" t="s">
        <v>127</v>
      </c>
      <c r="D293" s="23" t="s">
        <v>128</v>
      </c>
      <c r="E293" s="17">
        <v>4.0</v>
      </c>
    </row>
    <row r="294">
      <c r="A294" s="16" t="s">
        <v>420</v>
      </c>
      <c r="B294" s="30">
        <v>46044.00070444444</v>
      </c>
      <c r="C294" s="16" t="s">
        <v>127</v>
      </c>
      <c r="D294" s="23" t="s">
        <v>128</v>
      </c>
      <c r="E294" s="17">
        <v>4.0</v>
      </c>
    </row>
    <row r="295">
      <c r="A295" s="16" t="s">
        <v>421</v>
      </c>
      <c r="B295" s="30">
        <v>46044.00070444444</v>
      </c>
      <c r="C295" s="16" t="s">
        <v>127</v>
      </c>
      <c r="D295" s="23" t="s">
        <v>128</v>
      </c>
      <c r="E295" s="17">
        <v>4.0</v>
      </c>
    </row>
    <row r="296">
      <c r="A296" s="16" t="s">
        <v>422</v>
      </c>
      <c r="B296" s="30">
        <v>46044.00070444444</v>
      </c>
      <c r="C296" s="16" t="s">
        <v>127</v>
      </c>
      <c r="D296" s="23" t="s">
        <v>128</v>
      </c>
      <c r="E296" s="17">
        <v>4.0</v>
      </c>
    </row>
    <row r="297">
      <c r="A297" s="16" t="s">
        <v>423</v>
      </c>
      <c r="B297" s="30">
        <v>46044.00070444444</v>
      </c>
      <c r="C297" s="16" t="s">
        <v>127</v>
      </c>
      <c r="D297" s="23" t="s">
        <v>128</v>
      </c>
      <c r="E297" s="17">
        <v>4.0</v>
      </c>
    </row>
    <row r="298">
      <c r="A298" s="16" t="s">
        <v>424</v>
      </c>
      <c r="B298" s="30">
        <v>46044.00070444444</v>
      </c>
      <c r="C298" s="16" t="s">
        <v>127</v>
      </c>
      <c r="D298" s="23" t="s">
        <v>128</v>
      </c>
      <c r="E298" s="17">
        <v>4.0</v>
      </c>
    </row>
    <row r="299">
      <c r="A299" s="16" t="s">
        <v>425</v>
      </c>
      <c r="B299" s="30">
        <v>46044.00070444444</v>
      </c>
      <c r="C299" s="16" t="s">
        <v>127</v>
      </c>
      <c r="D299" s="23" t="s">
        <v>128</v>
      </c>
      <c r="E299" s="17">
        <v>4.0</v>
      </c>
    </row>
    <row r="300">
      <c r="A300" s="16" t="s">
        <v>426</v>
      </c>
      <c r="B300" s="30">
        <v>46044.00070444444</v>
      </c>
      <c r="C300" s="16" t="s">
        <v>127</v>
      </c>
      <c r="D300" s="23" t="s">
        <v>128</v>
      </c>
      <c r="E300" s="17">
        <v>4.0</v>
      </c>
    </row>
    <row r="301">
      <c r="A301" s="16" t="s">
        <v>427</v>
      </c>
      <c r="B301" s="30">
        <v>46044.00070444444</v>
      </c>
      <c r="C301" s="16" t="s">
        <v>127</v>
      </c>
      <c r="D301" s="23" t="s">
        <v>128</v>
      </c>
      <c r="E301" s="17">
        <v>4.0</v>
      </c>
    </row>
    <row r="302">
      <c r="A302" s="16" t="s">
        <v>428</v>
      </c>
      <c r="B302" s="30">
        <v>46044.00070444444</v>
      </c>
      <c r="C302" s="16" t="s">
        <v>127</v>
      </c>
      <c r="D302" s="23" t="s">
        <v>128</v>
      </c>
      <c r="E302" s="17">
        <v>4.0</v>
      </c>
    </row>
    <row r="303">
      <c r="A303" s="16" t="s">
        <v>429</v>
      </c>
      <c r="B303" s="30">
        <v>46044.00070444444</v>
      </c>
      <c r="C303" s="16" t="s">
        <v>127</v>
      </c>
      <c r="D303" s="23" t="s">
        <v>128</v>
      </c>
      <c r="E303" s="17">
        <v>4.0</v>
      </c>
    </row>
    <row r="304">
      <c r="A304" s="16" t="s">
        <v>430</v>
      </c>
      <c r="B304" s="30">
        <v>46044.00070444444</v>
      </c>
      <c r="C304" s="16" t="s">
        <v>127</v>
      </c>
      <c r="D304" s="23" t="s">
        <v>128</v>
      </c>
      <c r="E304" s="17">
        <v>4.0</v>
      </c>
    </row>
    <row r="305">
      <c r="A305" s="16" t="s">
        <v>431</v>
      </c>
      <c r="B305" s="30">
        <v>46044.00070444444</v>
      </c>
      <c r="C305" s="16" t="s">
        <v>127</v>
      </c>
      <c r="D305" s="23" t="s">
        <v>128</v>
      </c>
      <c r="E305" s="17">
        <v>4.0</v>
      </c>
    </row>
    <row r="306">
      <c r="A306" s="16" t="s">
        <v>432</v>
      </c>
      <c r="B306" s="30">
        <v>46044.00070444444</v>
      </c>
      <c r="C306" s="16" t="s">
        <v>127</v>
      </c>
      <c r="D306" s="23" t="s">
        <v>128</v>
      </c>
      <c r="E306" s="17">
        <v>4.0</v>
      </c>
    </row>
    <row r="307">
      <c r="A307" s="16" t="s">
        <v>433</v>
      </c>
      <c r="B307" s="30">
        <v>46044.00070444444</v>
      </c>
      <c r="C307" s="16" t="s">
        <v>127</v>
      </c>
      <c r="D307" s="23" t="s">
        <v>128</v>
      </c>
      <c r="E307" s="17">
        <v>4.0</v>
      </c>
    </row>
    <row r="308">
      <c r="A308" s="16" t="s">
        <v>434</v>
      </c>
      <c r="B308" s="30">
        <v>46044.00070444444</v>
      </c>
      <c r="C308" s="16" t="s">
        <v>127</v>
      </c>
      <c r="D308" s="23" t="s">
        <v>128</v>
      </c>
      <c r="E308" s="17">
        <v>4.0</v>
      </c>
    </row>
    <row r="309">
      <c r="A309" s="16" t="s">
        <v>435</v>
      </c>
      <c r="B309" s="30">
        <v>46044.00070444444</v>
      </c>
      <c r="C309" s="16" t="s">
        <v>127</v>
      </c>
      <c r="D309" s="23" t="s">
        <v>128</v>
      </c>
      <c r="E309" s="17">
        <v>4.0</v>
      </c>
    </row>
    <row r="310">
      <c r="A310" s="16" t="s">
        <v>436</v>
      </c>
      <c r="B310" s="30">
        <v>46044.00070444444</v>
      </c>
      <c r="C310" s="16" t="s">
        <v>127</v>
      </c>
      <c r="D310" s="23" t="s">
        <v>128</v>
      </c>
      <c r="E310" s="17">
        <v>4.0</v>
      </c>
    </row>
    <row r="311">
      <c r="A311" s="16" t="s">
        <v>437</v>
      </c>
      <c r="B311" s="30">
        <v>46044.00070444444</v>
      </c>
      <c r="C311" s="16" t="s">
        <v>127</v>
      </c>
      <c r="D311" s="23" t="s">
        <v>128</v>
      </c>
      <c r="E311" s="17">
        <v>4.0</v>
      </c>
    </row>
    <row r="312">
      <c r="A312" s="16" t="s">
        <v>438</v>
      </c>
      <c r="B312" s="30">
        <v>46044.00070444444</v>
      </c>
      <c r="C312" s="16" t="s">
        <v>127</v>
      </c>
      <c r="D312" s="23" t="s">
        <v>128</v>
      </c>
      <c r="E312" s="17">
        <v>4.0</v>
      </c>
    </row>
    <row r="313">
      <c r="A313" s="16" t="s">
        <v>439</v>
      </c>
      <c r="B313" s="30">
        <v>46044.00070444444</v>
      </c>
      <c r="C313" s="16" t="s">
        <v>127</v>
      </c>
      <c r="D313" s="23" t="s">
        <v>128</v>
      </c>
      <c r="E313" s="17">
        <v>4.0</v>
      </c>
    </row>
    <row r="314">
      <c r="A314" s="16" t="s">
        <v>440</v>
      </c>
      <c r="B314" s="30">
        <v>46044.00070444444</v>
      </c>
      <c r="C314" s="16" t="s">
        <v>127</v>
      </c>
      <c r="D314" s="23" t="s">
        <v>128</v>
      </c>
      <c r="E314" s="17">
        <v>4.0</v>
      </c>
    </row>
    <row r="315">
      <c r="A315" s="16" t="s">
        <v>441</v>
      </c>
      <c r="B315" s="30">
        <v>46044.00070444444</v>
      </c>
      <c r="C315" s="16" t="s">
        <v>127</v>
      </c>
      <c r="D315" s="23" t="s">
        <v>128</v>
      </c>
      <c r="E315" s="17">
        <v>4.0</v>
      </c>
    </row>
    <row r="316">
      <c r="A316" s="16" t="s">
        <v>442</v>
      </c>
      <c r="B316" s="30">
        <v>46044.00070444444</v>
      </c>
      <c r="C316" s="16" t="s">
        <v>127</v>
      </c>
      <c r="D316" s="23" t="s">
        <v>128</v>
      </c>
      <c r="E316" s="17">
        <v>4.0</v>
      </c>
    </row>
    <row r="317">
      <c r="A317" s="16" t="s">
        <v>443</v>
      </c>
      <c r="B317" s="30">
        <v>46044.00070444444</v>
      </c>
      <c r="C317" s="16" t="s">
        <v>127</v>
      </c>
      <c r="D317" s="23" t="s">
        <v>128</v>
      </c>
      <c r="E317" s="17">
        <v>4.0</v>
      </c>
    </row>
    <row r="318">
      <c r="A318" s="16" t="s">
        <v>444</v>
      </c>
      <c r="B318" s="30">
        <v>46044.00070444444</v>
      </c>
      <c r="C318" s="16" t="s">
        <v>127</v>
      </c>
      <c r="D318" s="23" t="s">
        <v>128</v>
      </c>
      <c r="E318" s="17">
        <v>4.0</v>
      </c>
    </row>
    <row r="319">
      <c r="A319" s="16" t="s">
        <v>445</v>
      </c>
      <c r="B319" s="30">
        <v>46044.00070444444</v>
      </c>
      <c r="C319" s="16" t="s">
        <v>127</v>
      </c>
      <c r="D319" s="23" t="s">
        <v>128</v>
      </c>
      <c r="E319" s="17">
        <v>4.0</v>
      </c>
    </row>
    <row r="320">
      <c r="A320" s="16" t="s">
        <v>446</v>
      </c>
      <c r="B320" s="30">
        <v>46044.00070444444</v>
      </c>
      <c r="C320" s="16" t="s">
        <v>127</v>
      </c>
      <c r="D320" s="23" t="s">
        <v>128</v>
      </c>
      <c r="E320" s="17">
        <v>4.0</v>
      </c>
    </row>
    <row r="321">
      <c r="A321" s="16" t="s">
        <v>447</v>
      </c>
      <c r="B321" s="30">
        <v>46044.00070444444</v>
      </c>
      <c r="C321" s="16" t="s">
        <v>127</v>
      </c>
      <c r="D321" s="23" t="s">
        <v>128</v>
      </c>
      <c r="E321" s="17">
        <v>4.0</v>
      </c>
    </row>
    <row r="322">
      <c r="A322" s="16" t="s">
        <v>448</v>
      </c>
      <c r="B322" s="30">
        <v>46044.00070444444</v>
      </c>
      <c r="C322" s="16" t="s">
        <v>127</v>
      </c>
      <c r="D322" s="23" t="s">
        <v>128</v>
      </c>
      <c r="E322" s="17">
        <v>4.0</v>
      </c>
    </row>
    <row r="323">
      <c r="A323" s="16" t="s">
        <v>449</v>
      </c>
      <c r="B323" s="30">
        <v>46044.00070444444</v>
      </c>
      <c r="C323" s="16" t="s">
        <v>127</v>
      </c>
      <c r="D323" s="23" t="s">
        <v>128</v>
      </c>
      <c r="E323" s="17">
        <v>4.0</v>
      </c>
    </row>
    <row r="324">
      <c r="A324" s="16" t="s">
        <v>450</v>
      </c>
      <c r="B324" s="30">
        <v>46044.00070444444</v>
      </c>
      <c r="C324" s="16" t="s">
        <v>127</v>
      </c>
      <c r="D324" s="23" t="s">
        <v>128</v>
      </c>
      <c r="E324" s="17">
        <v>4.0</v>
      </c>
    </row>
    <row r="325">
      <c r="A325" s="16" t="s">
        <v>451</v>
      </c>
      <c r="B325" s="30">
        <v>46044.00070444444</v>
      </c>
      <c r="C325" s="16" t="s">
        <v>127</v>
      </c>
      <c r="D325" s="23" t="s">
        <v>128</v>
      </c>
      <c r="E325" s="17">
        <v>4.0</v>
      </c>
    </row>
    <row r="326">
      <c r="A326" s="16" t="s">
        <v>452</v>
      </c>
      <c r="B326" s="30">
        <v>46044.00070444444</v>
      </c>
      <c r="C326" s="16" t="s">
        <v>127</v>
      </c>
      <c r="D326" s="23" t="s">
        <v>128</v>
      </c>
      <c r="E326" s="17">
        <v>4.0</v>
      </c>
    </row>
    <row r="327">
      <c r="A327" s="16" t="s">
        <v>453</v>
      </c>
      <c r="B327" s="30">
        <v>46044.00070444444</v>
      </c>
      <c r="C327" s="16" t="s">
        <v>127</v>
      </c>
      <c r="D327" s="23" t="s">
        <v>128</v>
      </c>
      <c r="E327" s="17">
        <v>4.0</v>
      </c>
    </row>
    <row r="328">
      <c r="A328" s="16" t="s">
        <v>454</v>
      </c>
      <c r="B328" s="30">
        <v>46044.00070444444</v>
      </c>
      <c r="C328" s="16" t="s">
        <v>127</v>
      </c>
      <c r="D328" s="23" t="s">
        <v>128</v>
      </c>
      <c r="E328" s="17">
        <v>4.0</v>
      </c>
    </row>
    <row r="329">
      <c r="A329" s="16" t="s">
        <v>455</v>
      </c>
      <c r="B329" s="30">
        <v>46044.00070444444</v>
      </c>
      <c r="C329" s="16" t="s">
        <v>127</v>
      </c>
      <c r="D329" s="23" t="s">
        <v>128</v>
      </c>
      <c r="E329" s="17">
        <v>4.0</v>
      </c>
    </row>
    <row r="330">
      <c r="A330" s="16" t="s">
        <v>456</v>
      </c>
      <c r="B330" s="30">
        <v>46044.00070444444</v>
      </c>
      <c r="C330" s="16" t="s">
        <v>127</v>
      </c>
      <c r="D330" s="23" t="s">
        <v>128</v>
      </c>
      <c r="E330" s="17">
        <v>4.0</v>
      </c>
    </row>
    <row r="331">
      <c r="A331" s="16" t="s">
        <v>457</v>
      </c>
      <c r="B331" s="30">
        <v>46044.00070444444</v>
      </c>
      <c r="C331" s="16" t="s">
        <v>127</v>
      </c>
      <c r="D331" s="23" t="s">
        <v>128</v>
      </c>
      <c r="E331" s="17">
        <v>4.0</v>
      </c>
    </row>
    <row r="332">
      <c r="A332" s="16" t="s">
        <v>458</v>
      </c>
      <c r="B332" s="30">
        <v>46044.00070444444</v>
      </c>
      <c r="C332" s="16" t="s">
        <v>127</v>
      </c>
      <c r="D332" s="23" t="s">
        <v>128</v>
      </c>
      <c r="E332" s="17">
        <v>4.0</v>
      </c>
    </row>
    <row r="333">
      <c r="A333" s="16" t="s">
        <v>459</v>
      </c>
      <c r="B333" s="30">
        <v>46044.00070444444</v>
      </c>
      <c r="C333" s="16" t="s">
        <v>127</v>
      </c>
      <c r="D333" s="23" t="s">
        <v>128</v>
      </c>
      <c r="E333" s="17">
        <v>4.0</v>
      </c>
    </row>
    <row r="334">
      <c r="A334" s="16" t="s">
        <v>460</v>
      </c>
      <c r="B334" s="30">
        <v>46044.00070444444</v>
      </c>
      <c r="C334" s="16" t="s">
        <v>127</v>
      </c>
      <c r="D334" s="23" t="s">
        <v>128</v>
      </c>
      <c r="E334" s="17">
        <v>4.0</v>
      </c>
    </row>
    <row r="335">
      <c r="A335" s="16" t="s">
        <v>461</v>
      </c>
      <c r="B335" s="30">
        <v>46044.00070444444</v>
      </c>
      <c r="C335" s="16" t="s">
        <v>127</v>
      </c>
      <c r="D335" s="23" t="s">
        <v>128</v>
      </c>
      <c r="E335" s="17">
        <v>4.0</v>
      </c>
    </row>
    <row r="336">
      <c r="A336" s="16" t="s">
        <v>462</v>
      </c>
      <c r="B336" s="30">
        <v>46044.00070444444</v>
      </c>
      <c r="C336" s="16" t="s">
        <v>127</v>
      </c>
      <c r="D336" s="23" t="s">
        <v>128</v>
      </c>
      <c r="E336" s="17">
        <v>4.0</v>
      </c>
    </row>
    <row r="337">
      <c r="A337" s="16" t="s">
        <v>463</v>
      </c>
      <c r="B337" s="30">
        <v>46044.00070444444</v>
      </c>
      <c r="C337" s="16" t="s">
        <v>127</v>
      </c>
      <c r="D337" s="23" t="s">
        <v>128</v>
      </c>
      <c r="E337" s="17">
        <v>4.0</v>
      </c>
    </row>
    <row r="338">
      <c r="A338" s="16" t="s">
        <v>464</v>
      </c>
      <c r="B338" s="30">
        <v>46044.00070444444</v>
      </c>
      <c r="C338" s="16" t="s">
        <v>127</v>
      </c>
      <c r="D338" s="23" t="s">
        <v>128</v>
      </c>
      <c r="E338" s="17">
        <v>4.0</v>
      </c>
    </row>
    <row r="339">
      <c r="A339" s="16" t="s">
        <v>465</v>
      </c>
      <c r="B339" s="30">
        <v>46044.00070444444</v>
      </c>
      <c r="C339" s="16" t="s">
        <v>127</v>
      </c>
      <c r="D339" s="23" t="s">
        <v>128</v>
      </c>
      <c r="E339" s="17">
        <v>4.0</v>
      </c>
    </row>
    <row r="340">
      <c r="A340" s="16" t="s">
        <v>466</v>
      </c>
      <c r="B340" s="30">
        <v>46044.00070444444</v>
      </c>
      <c r="C340" s="16" t="s">
        <v>127</v>
      </c>
      <c r="D340" s="23" t="s">
        <v>128</v>
      </c>
      <c r="E340" s="17">
        <v>4.0</v>
      </c>
    </row>
    <row r="341">
      <c r="A341" s="16" t="s">
        <v>467</v>
      </c>
      <c r="B341" s="30">
        <v>46044.00070444444</v>
      </c>
      <c r="C341" s="16" t="s">
        <v>127</v>
      </c>
      <c r="D341" s="23" t="s">
        <v>128</v>
      </c>
      <c r="E341" s="17">
        <v>4.0</v>
      </c>
    </row>
    <row r="342">
      <c r="A342" s="16" t="s">
        <v>468</v>
      </c>
      <c r="B342" s="30">
        <v>46044.00070444444</v>
      </c>
      <c r="C342" s="16" t="s">
        <v>127</v>
      </c>
      <c r="D342" s="23" t="s">
        <v>128</v>
      </c>
      <c r="E342" s="17">
        <v>4.0</v>
      </c>
    </row>
    <row r="343">
      <c r="A343" s="16" t="s">
        <v>469</v>
      </c>
      <c r="B343" s="30">
        <v>46044.00070444444</v>
      </c>
      <c r="C343" s="16" t="s">
        <v>127</v>
      </c>
      <c r="D343" s="23" t="s">
        <v>128</v>
      </c>
      <c r="E343" s="17">
        <v>4.0</v>
      </c>
    </row>
    <row r="344">
      <c r="A344" s="16" t="s">
        <v>470</v>
      </c>
      <c r="B344" s="30">
        <v>46044.00070444444</v>
      </c>
      <c r="C344" s="16" t="s">
        <v>127</v>
      </c>
      <c r="D344" s="23" t="s">
        <v>128</v>
      </c>
      <c r="E344" s="17">
        <v>4.0</v>
      </c>
    </row>
    <row r="345">
      <c r="A345" s="16" t="s">
        <v>471</v>
      </c>
      <c r="B345" s="30">
        <v>46044.00070444444</v>
      </c>
      <c r="C345" s="16" t="s">
        <v>127</v>
      </c>
      <c r="D345" s="23" t="s">
        <v>128</v>
      </c>
      <c r="E345" s="17">
        <v>4.0</v>
      </c>
    </row>
    <row r="346">
      <c r="A346" s="16" t="s">
        <v>472</v>
      </c>
      <c r="B346" s="30">
        <v>46044.00070444444</v>
      </c>
      <c r="C346" s="16" t="s">
        <v>127</v>
      </c>
      <c r="D346" s="23" t="s">
        <v>128</v>
      </c>
      <c r="E346" s="17">
        <v>4.0</v>
      </c>
    </row>
    <row r="347">
      <c r="A347" s="16" t="s">
        <v>473</v>
      </c>
      <c r="B347" s="30">
        <v>46044.00070444444</v>
      </c>
      <c r="C347" s="16" t="s">
        <v>127</v>
      </c>
      <c r="D347" s="23" t="s">
        <v>128</v>
      </c>
      <c r="E347" s="17">
        <v>4.0</v>
      </c>
    </row>
    <row r="348">
      <c r="A348" s="16" t="s">
        <v>474</v>
      </c>
      <c r="B348" s="30">
        <v>46044.00070444444</v>
      </c>
      <c r="C348" s="16" t="s">
        <v>127</v>
      </c>
      <c r="D348" s="23" t="s">
        <v>128</v>
      </c>
      <c r="E348" s="17">
        <v>4.0</v>
      </c>
    </row>
    <row r="349">
      <c r="A349" s="16" t="s">
        <v>475</v>
      </c>
      <c r="B349" s="30">
        <v>46044.00070444444</v>
      </c>
      <c r="C349" s="16" t="s">
        <v>127</v>
      </c>
      <c r="D349" s="23" t="s">
        <v>128</v>
      </c>
      <c r="E349" s="17">
        <v>4.0</v>
      </c>
    </row>
    <row r="350">
      <c r="A350" s="16" t="s">
        <v>476</v>
      </c>
      <c r="B350" s="30">
        <v>46044.00070444444</v>
      </c>
      <c r="C350" s="16" t="s">
        <v>127</v>
      </c>
      <c r="D350" s="23" t="s">
        <v>128</v>
      </c>
      <c r="E350" s="17">
        <v>4.0</v>
      </c>
    </row>
    <row r="351">
      <c r="A351" s="16" t="s">
        <v>477</v>
      </c>
      <c r="B351" s="30">
        <v>46044.00070444444</v>
      </c>
      <c r="C351" s="16" t="s">
        <v>127</v>
      </c>
      <c r="D351" s="23" t="s">
        <v>128</v>
      </c>
      <c r="E351" s="17">
        <v>4.0</v>
      </c>
    </row>
    <row r="352">
      <c r="A352" s="16" t="s">
        <v>478</v>
      </c>
      <c r="B352" s="30">
        <v>46044.00070444444</v>
      </c>
      <c r="C352" s="16" t="s">
        <v>127</v>
      </c>
      <c r="D352" s="23" t="s">
        <v>128</v>
      </c>
      <c r="E352" s="17">
        <v>4.0</v>
      </c>
    </row>
    <row r="353">
      <c r="A353" s="16" t="s">
        <v>479</v>
      </c>
      <c r="B353" s="30">
        <v>46044.00070444444</v>
      </c>
      <c r="C353" s="16" t="s">
        <v>127</v>
      </c>
      <c r="D353" s="23" t="s">
        <v>128</v>
      </c>
      <c r="E353" s="17">
        <v>4.0</v>
      </c>
    </row>
    <row r="354">
      <c r="A354" s="16" t="s">
        <v>480</v>
      </c>
      <c r="B354" s="30">
        <v>46044.00070444444</v>
      </c>
      <c r="C354" s="16" t="s">
        <v>127</v>
      </c>
      <c r="D354" s="23" t="s">
        <v>128</v>
      </c>
      <c r="E354" s="17">
        <v>4.0</v>
      </c>
    </row>
    <row r="355">
      <c r="A355" s="16" t="s">
        <v>481</v>
      </c>
      <c r="B355" s="30">
        <v>46044.00070444444</v>
      </c>
      <c r="C355" s="16" t="s">
        <v>127</v>
      </c>
      <c r="D355" s="23" t="s">
        <v>128</v>
      </c>
      <c r="E355" s="17">
        <v>4.0</v>
      </c>
    </row>
    <row r="356">
      <c r="A356" s="16" t="s">
        <v>482</v>
      </c>
      <c r="B356" s="30">
        <v>46044.00070444444</v>
      </c>
      <c r="C356" s="16" t="s">
        <v>127</v>
      </c>
      <c r="D356" s="23" t="s">
        <v>128</v>
      </c>
      <c r="E356" s="17">
        <v>4.0</v>
      </c>
    </row>
    <row r="357">
      <c r="A357" s="16" t="s">
        <v>483</v>
      </c>
      <c r="B357" s="30">
        <v>46044.00070444444</v>
      </c>
      <c r="C357" s="16" t="s">
        <v>127</v>
      </c>
      <c r="D357" s="23" t="s">
        <v>128</v>
      </c>
      <c r="E357" s="17">
        <v>4.0</v>
      </c>
    </row>
    <row r="358">
      <c r="A358" s="16" t="s">
        <v>484</v>
      </c>
      <c r="B358" s="30">
        <v>46044.00070444444</v>
      </c>
      <c r="C358" s="16" t="s">
        <v>127</v>
      </c>
      <c r="D358" s="23" t="s">
        <v>128</v>
      </c>
      <c r="E358" s="17">
        <v>4.0</v>
      </c>
    </row>
    <row r="359">
      <c r="A359" s="16" t="s">
        <v>485</v>
      </c>
      <c r="B359" s="30">
        <v>46044.00070444444</v>
      </c>
      <c r="C359" s="16" t="s">
        <v>127</v>
      </c>
      <c r="D359" s="23" t="s">
        <v>128</v>
      </c>
      <c r="E359" s="17">
        <v>4.0</v>
      </c>
    </row>
    <row r="360">
      <c r="A360" s="16" t="s">
        <v>486</v>
      </c>
      <c r="B360" s="30">
        <v>46044.00070444444</v>
      </c>
      <c r="C360" s="16" t="s">
        <v>127</v>
      </c>
      <c r="D360" s="23" t="s">
        <v>128</v>
      </c>
      <c r="E360" s="17">
        <v>4.0</v>
      </c>
    </row>
    <row r="361">
      <c r="A361" s="16" t="s">
        <v>487</v>
      </c>
      <c r="B361" s="30">
        <v>46044.00070444444</v>
      </c>
      <c r="C361" s="16" t="s">
        <v>127</v>
      </c>
      <c r="D361" s="23" t="s">
        <v>128</v>
      </c>
      <c r="E361" s="17">
        <v>4.0</v>
      </c>
    </row>
    <row r="362">
      <c r="A362" s="16" t="s">
        <v>488</v>
      </c>
      <c r="B362" s="30">
        <v>46044.00070444444</v>
      </c>
      <c r="C362" s="16" t="s">
        <v>127</v>
      </c>
      <c r="D362" s="23" t="s">
        <v>128</v>
      </c>
      <c r="E362" s="17">
        <v>4.0</v>
      </c>
    </row>
    <row r="363">
      <c r="A363" s="16" t="s">
        <v>489</v>
      </c>
      <c r="B363" s="30">
        <v>46044.00070444444</v>
      </c>
      <c r="C363" s="16" t="s">
        <v>127</v>
      </c>
      <c r="D363" s="23" t="s">
        <v>128</v>
      </c>
      <c r="E363" s="17">
        <v>4.0</v>
      </c>
    </row>
    <row r="364">
      <c r="A364" s="16" t="s">
        <v>490</v>
      </c>
      <c r="B364" s="30">
        <v>46044.00070444444</v>
      </c>
      <c r="C364" s="16" t="s">
        <v>127</v>
      </c>
      <c r="D364" s="23" t="s">
        <v>128</v>
      </c>
      <c r="E364" s="17">
        <v>4.0</v>
      </c>
    </row>
    <row r="365">
      <c r="A365" s="16" t="s">
        <v>491</v>
      </c>
      <c r="B365" s="30">
        <v>46044.00070444444</v>
      </c>
      <c r="C365" s="16" t="s">
        <v>127</v>
      </c>
      <c r="D365" s="23" t="s">
        <v>128</v>
      </c>
      <c r="E365" s="17">
        <v>4.0</v>
      </c>
    </row>
    <row r="366">
      <c r="A366" s="16" t="s">
        <v>492</v>
      </c>
      <c r="B366" s="30">
        <v>46044.00070444444</v>
      </c>
      <c r="C366" s="16" t="s">
        <v>127</v>
      </c>
      <c r="D366" s="23" t="s">
        <v>128</v>
      </c>
      <c r="E366" s="17">
        <v>4.0</v>
      </c>
    </row>
    <row r="367">
      <c r="A367" s="16" t="s">
        <v>493</v>
      </c>
      <c r="B367" s="30">
        <v>46044.00070444444</v>
      </c>
      <c r="C367" s="16" t="s">
        <v>127</v>
      </c>
      <c r="D367" s="23" t="s">
        <v>128</v>
      </c>
      <c r="E367" s="17">
        <v>4.0</v>
      </c>
    </row>
    <row r="368">
      <c r="A368" s="16" t="s">
        <v>494</v>
      </c>
      <c r="B368" s="30">
        <v>46044.00070444444</v>
      </c>
      <c r="C368" s="16" t="s">
        <v>127</v>
      </c>
      <c r="D368" s="23" t="s">
        <v>128</v>
      </c>
      <c r="E368" s="17">
        <v>4.0</v>
      </c>
    </row>
    <row r="369">
      <c r="A369" s="16" t="s">
        <v>495</v>
      </c>
      <c r="B369" s="30">
        <v>46044.00070444444</v>
      </c>
      <c r="C369" s="16" t="s">
        <v>127</v>
      </c>
      <c r="D369" s="23" t="s">
        <v>128</v>
      </c>
      <c r="E369" s="17">
        <v>4.0</v>
      </c>
    </row>
    <row r="370">
      <c r="A370" s="16" t="s">
        <v>496</v>
      </c>
      <c r="B370" s="30">
        <v>46044.00070444444</v>
      </c>
      <c r="C370" s="16" t="s">
        <v>127</v>
      </c>
      <c r="D370" s="23" t="s">
        <v>128</v>
      </c>
      <c r="E370" s="17">
        <v>4.0</v>
      </c>
    </row>
    <row r="371">
      <c r="A371" s="16" t="s">
        <v>497</v>
      </c>
      <c r="B371" s="30">
        <v>46044.00070444444</v>
      </c>
      <c r="C371" s="16" t="s">
        <v>127</v>
      </c>
      <c r="D371" s="23" t="s">
        <v>128</v>
      </c>
      <c r="E371" s="17">
        <v>4.0</v>
      </c>
    </row>
    <row r="372">
      <c r="A372" s="16" t="s">
        <v>498</v>
      </c>
      <c r="B372" s="30">
        <v>46044.00070444444</v>
      </c>
      <c r="C372" s="16" t="s">
        <v>127</v>
      </c>
      <c r="D372" s="23" t="s">
        <v>128</v>
      </c>
      <c r="E372" s="17">
        <v>4.0</v>
      </c>
    </row>
    <row r="373">
      <c r="A373" s="16" t="s">
        <v>499</v>
      </c>
      <c r="B373" s="30">
        <v>46044.00070444444</v>
      </c>
      <c r="C373" s="16" t="s">
        <v>127</v>
      </c>
      <c r="D373" s="23" t="s">
        <v>128</v>
      </c>
      <c r="E373" s="17">
        <v>4.0</v>
      </c>
    </row>
    <row r="374">
      <c r="A374" s="16" t="s">
        <v>500</v>
      </c>
      <c r="B374" s="30">
        <v>46044.00070444444</v>
      </c>
      <c r="C374" s="16" t="s">
        <v>127</v>
      </c>
      <c r="D374" s="23" t="s">
        <v>128</v>
      </c>
      <c r="E374" s="17">
        <v>4.0</v>
      </c>
    </row>
    <row r="375">
      <c r="A375" s="16" t="s">
        <v>501</v>
      </c>
      <c r="B375" s="30">
        <v>46044.00070444444</v>
      </c>
      <c r="C375" s="16" t="s">
        <v>127</v>
      </c>
      <c r="D375" s="23" t="s">
        <v>128</v>
      </c>
      <c r="E375" s="17">
        <v>4.0</v>
      </c>
    </row>
    <row r="376">
      <c r="A376" s="16" t="s">
        <v>502</v>
      </c>
      <c r="B376" s="30">
        <v>46044.00070444444</v>
      </c>
      <c r="C376" s="16" t="s">
        <v>127</v>
      </c>
      <c r="D376" s="23" t="s">
        <v>128</v>
      </c>
      <c r="E376" s="17">
        <v>4.0</v>
      </c>
    </row>
    <row r="377">
      <c r="A377" s="16" t="s">
        <v>503</v>
      </c>
      <c r="B377" s="30">
        <v>46044.00070444444</v>
      </c>
      <c r="C377" s="16" t="s">
        <v>127</v>
      </c>
      <c r="D377" s="23" t="s">
        <v>128</v>
      </c>
      <c r="E377" s="17">
        <v>4.0</v>
      </c>
    </row>
    <row r="378">
      <c r="A378" s="16" t="s">
        <v>504</v>
      </c>
      <c r="B378" s="30">
        <v>46044.00070444444</v>
      </c>
      <c r="C378" s="16" t="s">
        <v>127</v>
      </c>
      <c r="D378" s="23" t="s">
        <v>128</v>
      </c>
      <c r="E378" s="17">
        <v>4.0</v>
      </c>
    </row>
    <row r="379">
      <c r="A379" s="16" t="s">
        <v>505</v>
      </c>
      <c r="B379" s="30">
        <v>46044.00070444444</v>
      </c>
      <c r="C379" s="16" t="s">
        <v>127</v>
      </c>
      <c r="D379" s="23" t="s">
        <v>128</v>
      </c>
      <c r="E379" s="17">
        <v>4.0</v>
      </c>
    </row>
    <row r="380">
      <c r="A380" s="16" t="s">
        <v>506</v>
      </c>
      <c r="B380" s="30">
        <v>46044.00070444444</v>
      </c>
      <c r="C380" s="16" t="s">
        <v>127</v>
      </c>
      <c r="D380" s="23" t="s">
        <v>128</v>
      </c>
      <c r="E380" s="17">
        <v>4.0</v>
      </c>
    </row>
    <row r="381">
      <c r="A381" s="16" t="s">
        <v>507</v>
      </c>
      <c r="B381" s="30">
        <v>46044.00070444444</v>
      </c>
      <c r="C381" s="16" t="s">
        <v>127</v>
      </c>
      <c r="D381" s="23" t="s">
        <v>128</v>
      </c>
      <c r="E381" s="17">
        <v>4.0</v>
      </c>
    </row>
    <row r="382">
      <c r="A382" s="16" t="s">
        <v>508</v>
      </c>
      <c r="B382" s="30">
        <v>46044.00070444444</v>
      </c>
      <c r="C382" s="16" t="s">
        <v>127</v>
      </c>
      <c r="D382" s="23" t="s">
        <v>128</v>
      </c>
      <c r="E382" s="17">
        <v>4.0</v>
      </c>
    </row>
    <row r="383">
      <c r="A383" s="16" t="s">
        <v>509</v>
      </c>
      <c r="B383" s="30">
        <v>46044.00070444444</v>
      </c>
      <c r="C383" s="16" t="s">
        <v>127</v>
      </c>
      <c r="D383" s="23" t="s">
        <v>128</v>
      </c>
      <c r="E383" s="17">
        <v>4.0</v>
      </c>
    </row>
    <row r="384">
      <c r="A384" s="16" t="s">
        <v>510</v>
      </c>
      <c r="B384" s="30">
        <v>46044.00070444444</v>
      </c>
      <c r="C384" s="16" t="s">
        <v>127</v>
      </c>
      <c r="D384" s="23" t="s">
        <v>128</v>
      </c>
      <c r="E384" s="17">
        <v>4.0</v>
      </c>
    </row>
    <row r="385">
      <c r="A385" s="16" t="s">
        <v>511</v>
      </c>
      <c r="B385" s="30">
        <v>46044.00070444444</v>
      </c>
      <c r="C385" s="16" t="s">
        <v>127</v>
      </c>
      <c r="D385" s="23" t="s">
        <v>128</v>
      </c>
      <c r="E385" s="17">
        <v>4.0</v>
      </c>
    </row>
    <row r="386">
      <c r="A386" s="16" t="s">
        <v>512</v>
      </c>
      <c r="B386" s="30">
        <v>46044.00070444444</v>
      </c>
      <c r="C386" s="16" t="s">
        <v>127</v>
      </c>
      <c r="D386" s="23" t="s">
        <v>128</v>
      </c>
      <c r="E386" s="17">
        <v>4.0</v>
      </c>
    </row>
    <row r="387">
      <c r="A387" s="16" t="s">
        <v>513</v>
      </c>
      <c r="B387" s="30">
        <v>46044.00070444444</v>
      </c>
      <c r="C387" s="16" t="s">
        <v>127</v>
      </c>
      <c r="D387" s="23" t="s">
        <v>128</v>
      </c>
      <c r="E387" s="17">
        <v>4.0</v>
      </c>
    </row>
    <row r="388">
      <c r="A388" s="16" t="s">
        <v>514</v>
      </c>
      <c r="B388" s="30">
        <v>46044.00070444444</v>
      </c>
      <c r="C388" s="16" t="s">
        <v>127</v>
      </c>
      <c r="D388" s="23" t="s">
        <v>128</v>
      </c>
      <c r="E388" s="17">
        <v>4.0</v>
      </c>
    </row>
    <row r="389">
      <c r="A389" s="16" t="s">
        <v>515</v>
      </c>
      <c r="B389" s="30">
        <v>46044.00070444444</v>
      </c>
      <c r="C389" s="16" t="s">
        <v>127</v>
      </c>
      <c r="D389" s="23" t="s">
        <v>128</v>
      </c>
      <c r="E389" s="17">
        <v>4.0</v>
      </c>
    </row>
    <row r="390">
      <c r="A390" s="16" t="s">
        <v>516</v>
      </c>
      <c r="B390" s="30">
        <v>46044.00070444444</v>
      </c>
      <c r="C390" s="16" t="s">
        <v>127</v>
      </c>
      <c r="D390" s="23" t="s">
        <v>128</v>
      </c>
      <c r="E390" s="17">
        <v>4.0</v>
      </c>
    </row>
    <row r="391">
      <c r="A391" s="16" t="s">
        <v>517</v>
      </c>
      <c r="B391" s="30">
        <v>46044.00070444444</v>
      </c>
      <c r="C391" s="16" t="s">
        <v>127</v>
      </c>
      <c r="D391" s="23" t="s">
        <v>128</v>
      </c>
      <c r="E391" s="17">
        <v>4.0</v>
      </c>
    </row>
    <row r="392">
      <c r="A392" s="16" t="s">
        <v>518</v>
      </c>
      <c r="B392" s="30">
        <v>46044.00070444444</v>
      </c>
      <c r="C392" s="16" t="s">
        <v>127</v>
      </c>
      <c r="D392" s="23" t="s">
        <v>128</v>
      </c>
      <c r="E392" s="17">
        <v>4.0</v>
      </c>
    </row>
    <row r="393">
      <c r="A393" s="16" t="s">
        <v>519</v>
      </c>
      <c r="B393" s="30">
        <v>46044.00070444444</v>
      </c>
      <c r="C393" s="16" t="s">
        <v>127</v>
      </c>
      <c r="D393" s="23" t="s">
        <v>128</v>
      </c>
      <c r="E393" s="17">
        <v>4.0</v>
      </c>
    </row>
    <row r="394">
      <c r="A394" s="16" t="s">
        <v>520</v>
      </c>
      <c r="B394" s="30">
        <v>46044.00070444444</v>
      </c>
      <c r="C394" s="16" t="s">
        <v>127</v>
      </c>
      <c r="D394" s="23" t="s">
        <v>128</v>
      </c>
      <c r="E394" s="17">
        <v>4.0</v>
      </c>
    </row>
    <row r="395">
      <c r="A395" s="16" t="s">
        <v>521</v>
      </c>
      <c r="B395" s="30">
        <v>46044.00070444444</v>
      </c>
      <c r="C395" s="16" t="s">
        <v>127</v>
      </c>
      <c r="D395" s="23" t="s">
        <v>128</v>
      </c>
      <c r="E395" s="17">
        <v>4.0</v>
      </c>
    </row>
    <row r="396">
      <c r="A396" s="16" t="s">
        <v>522</v>
      </c>
      <c r="B396" s="30">
        <v>46044.00070444444</v>
      </c>
      <c r="C396" s="16" t="s">
        <v>127</v>
      </c>
      <c r="D396" s="23" t="s">
        <v>128</v>
      </c>
      <c r="E396" s="17">
        <v>4.0</v>
      </c>
    </row>
    <row r="397">
      <c r="A397" s="16" t="s">
        <v>523</v>
      </c>
      <c r="B397" s="30">
        <v>46044.00070444444</v>
      </c>
      <c r="C397" s="16" t="s">
        <v>127</v>
      </c>
      <c r="D397" s="23" t="s">
        <v>128</v>
      </c>
      <c r="E397" s="17">
        <v>4.0</v>
      </c>
    </row>
    <row r="398">
      <c r="A398" s="16" t="s">
        <v>524</v>
      </c>
      <c r="B398" s="30">
        <v>46044.00070444444</v>
      </c>
      <c r="C398" s="16" t="s">
        <v>127</v>
      </c>
      <c r="D398" s="23" t="s">
        <v>128</v>
      </c>
      <c r="E398" s="17">
        <v>4.0</v>
      </c>
    </row>
    <row r="399">
      <c r="A399" s="16" t="s">
        <v>525</v>
      </c>
      <c r="B399" s="30">
        <v>46044.00070445602</v>
      </c>
      <c r="C399" s="16" t="s">
        <v>127</v>
      </c>
      <c r="D399" s="23" t="s">
        <v>128</v>
      </c>
      <c r="E399" s="17">
        <v>4.0</v>
      </c>
    </row>
    <row r="400">
      <c r="A400" s="16" t="s">
        <v>526</v>
      </c>
      <c r="B400" s="30">
        <v>46044.00070445602</v>
      </c>
      <c r="C400" s="16" t="s">
        <v>127</v>
      </c>
      <c r="D400" s="23" t="s">
        <v>128</v>
      </c>
      <c r="E400" s="17">
        <v>4.0</v>
      </c>
    </row>
    <row r="401">
      <c r="A401" s="16" t="s">
        <v>527</v>
      </c>
      <c r="B401" s="30">
        <v>46044.00070445602</v>
      </c>
      <c r="C401" s="16" t="s">
        <v>127</v>
      </c>
      <c r="D401" s="23" t="s">
        <v>128</v>
      </c>
      <c r="E401" s="17">
        <v>4.0</v>
      </c>
    </row>
    <row r="402">
      <c r="A402" s="16" t="s">
        <v>528</v>
      </c>
      <c r="B402" s="30">
        <v>46044.00070445602</v>
      </c>
      <c r="C402" s="16" t="s">
        <v>127</v>
      </c>
      <c r="D402" s="23" t="s">
        <v>128</v>
      </c>
      <c r="E402" s="17">
        <v>4.0</v>
      </c>
    </row>
    <row r="403">
      <c r="A403" s="16" t="s">
        <v>529</v>
      </c>
      <c r="B403" s="30">
        <v>46044.00070445602</v>
      </c>
      <c r="C403" s="16" t="s">
        <v>127</v>
      </c>
      <c r="D403" s="23" t="s">
        <v>128</v>
      </c>
      <c r="E403" s="17">
        <v>4.0</v>
      </c>
    </row>
    <row r="404">
      <c r="A404" s="16" t="s">
        <v>530</v>
      </c>
      <c r="B404" s="30">
        <v>46044.00070445602</v>
      </c>
      <c r="C404" s="16" t="s">
        <v>127</v>
      </c>
      <c r="D404" s="23" t="s">
        <v>128</v>
      </c>
      <c r="E404" s="17">
        <v>4.0</v>
      </c>
    </row>
    <row r="405">
      <c r="A405" s="16" t="s">
        <v>531</v>
      </c>
      <c r="B405" s="30">
        <v>46044.00070445602</v>
      </c>
      <c r="C405" s="16" t="s">
        <v>127</v>
      </c>
      <c r="D405" s="23" t="s">
        <v>128</v>
      </c>
      <c r="E405" s="17">
        <v>4.0</v>
      </c>
    </row>
    <row r="406">
      <c r="A406" s="16" t="s">
        <v>532</v>
      </c>
      <c r="B406" s="30">
        <v>46044.00070445602</v>
      </c>
      <c r="C406" s="16" t="s">
        <v>127</v>
      </c>
      <c r="D406" s="23" t="s">
        <v>128</v>
      </c>
      <c r="E406" s="17">
        <v>4.0</v>
      </c>
    </row>
    <row r="407">
      <c r="A407" s="16" t="s">
        <v>533</v>
      </c>
      <c r="B407" s="30">
        <v>46044.00070445602</v>
      </c>
      <c r="C407" s="16" t="s">
        <v>127</v>
      </c>
      <c r="D407" s="23" t="s">
        <v>128</v>
      </c>
      <c r="E407" s="17">
        <v>4.0</v>
      </c>
    </row>
    <row r="408">
      <c r="A408" s="16" t="s">
        <v>534</v>
      </c>
      <c r="B408" s="30">
        <v>46044.00070445602</v>
      </c>
      <c r="C408" s="16" t="s">
        <v>127</v>
      </c>
      <c r="D408" s="23" t="s">
        <v>128</v>
      </c>
      <c r="E408" s="17">
        <v>4.0</v>
      </c>
    </row>
    <row r="409">
      <c r="A409" s="16" t="s">
        <v>535</v>
      </c>
      <c r="B409" s="30">
        <v>46044.00070445602</v>
      </c>
      <c r="C409" s="16" t="s">
        <v>127</v>
      </c>
      <c r="D409" s="23" t="s">
        <v>128</v>
      </c>
      <c r="E409" s="17">
        <v>4.0</v>
      </c>
    </row>
    <row r="410">
      <c r="A410" s="16" t="s">
        <v>536</v>
      </c>
      <c r="B410" s="30">
        <v>46044.00070445602</v>
      </c>
      <c r="C410" s="16" t="s">
        <v>127</v>
      </c>
      <c r="D410" s="23" t="s">
        <v>128</v>
      </c>
      <c r="E410" s="17">
        <v>4.0</v>
      </c>
    </row>
    <row r="411">
      <c r="A411" s="16" t="s">
        <v>537</v>
      </c>
      <c r="B411" s="30">
        <v>46044.00070445602</v>
      </c>
      <c r="C411" s="16" t="s">
        <v>127</v>
      </c>
      <c r="D411" s="23" t="s">
        <v>128</v>
      </c>
      <c r="E411" s="17">
        <v>4.0</v>
      </c>
    </row>
    <row r="412">
      <c r="A412" s="16" t="s">
        <v>538</v>
      </c>
      <c r="B412" s="30">
        <v>46044.00070445602</v>
      </c>
      <c r="C412" s="16" t="s">
        <v>127</v>
      </c>
      <c r="D412" s="23" t="s">
        <v>128</v>
      </c>
      <c r="E412" s="17">
        <v>4.0</v>
      </c>
    </row>
    <row r="413">
      <c r="A413" s="16" t="s">
        <v>539</v>
      </c>
      <c r="B413" s="30">
        <v>46044.00070445602</v>
      </c>
      <c r="C413" s="16" t="s">
        <v>127</v>
      </c>
      <c r="D413" s="23" t="s">
        <v>128</v>
      </c>
      <c r="E413" s="17">
        <v>4.0</v>
      </c>
    </row>
    <row r="414">
      <c r="A414" s="16" t="s">
        <v>540</v>
      </c>
      <c r="B414" s="30">
        <v>46044.00070445602</v>
      </c>
      <c r="C414" s="16" t="s">
        <v>127</v>
      </c>
      <c r="D414" s="23" t="s">
        <v>128</v>
      </c>
      <c r="E414" s="17">
        <v>4.0</v>
      </c>
    </row>
    <row r="415">
      <c r="A415" s="16" t="s">
        <v>541</v>
      </c>
      <c r="B415" s="30">
        <v>46044.00070445602</v>
      </c>
      <c r="C415" s="16" t="s">
        <v>127</v>
      </c>
      <c r="D415" s="23" t="s">
        <v>128</v>
      </c>
      <c r="E415" s="17">
        <v>4.0</v>
      </c>
    </row>
    <row r="416">
      <c r="A416" s="16" t="s">
        <v>542</v>
      </c>
      <c r="B416" s="30">
        <v>46044.00070445602</v>
      </c>
      <c r="C416" s="16" t="s">
        <v>127</v>
      </c>
      <c r="D416" s="23" t="s">
        <v>128</v>
      </c>
      <c r="E416" s="17">
        <v>4.0</v>
      </c>
    </row>
    <row r="417">
      <c r="A417" s="16" t="s">
        <v>543</v>
      </c>
      <c r="B417" s="30">
        <v>46044.00070445602</v>
      </c>
      <c r="C417" s="16" t="s">
        <v>127</v>
      </c>
      <c r="D417" s="23" t="s">
        <v>128</v>
      </c>
      <c r="E417" s="17">
        <v>4.0</v>
      </c>
    </row>
    <row r="418">
      <c r="A418" s="16" t="s">
        <v>544</v>
      </c>
      <c r="B418" s="30">
        <v>46044.00070445602</v>
      </c>
      <c r="C418" s="16" t="s">
        <v>127</v>
      </c>
      <c r="D418" s="23" t="s">
        <v>128</v>
      </c>
      <c r="E418" s="17">
        <v>4.0</v>
      </c>
    </row>
    <row r="419">
      <c r="A419" s="16" t="s">
        <v>545</v>
      </c>
      <c r="B419" s="30">
        <v>46044.00070445602</v>
      </c>
      <c r="C419" s="16" t="s">
        <v>127</v>
      </c>
      <c r="D419" s="23" t="s">
        <v>128</v>
      </c>
      <c r="E419" s="17">
        <v>4.0</v>
      </c>
    </row>
    <row r="420">
      <c r="A420" s="16" t="s">
        <v>546</v>
      </c>
      <c r="B420" s="30">
        <v>46044.00070445602</v>
      </c>
      <c r="C420" s="16" t="s">
        <v>127</v>
      </c>
      <c r="D420" s="23" t="s">
        <v>128</v>
      </c>
      <c r="E420" s="17">
        <v>4.0</v>
      </c>
    </row>
    <row r="421">
      <c r="A421" s="16" t="s">
        <v>547</v>
      </c>
      <c r="B421" s="30">
        <v>46044.00070445602</v>
      </c>
      <c r="C421" s="16" t="s">
        <v>127</v>
      </c>
      <c r="D421" s="23" t="s">
        <v>128</v>
      </c>
      <c r="E421" s="17">
        <v>4.0</v>
      </c>
    </row>
    <row r="422">
      <c r="A422" s="16" t="s">
        <v>548</v>
      </c>
      <c r="B422" s="30">
        <v>46044.00070445602</v>
      </c>
      <c r="C422" s="16" t="s">
        <v>127</v>
      </c>
      <c r="D422" s="23" t="s">
        <v>128</v>
      </c>
      <c r="E422" s="17">
        <v>4.0</v>
      </c>
    </row>
    <row r="423">
      <c r="A423" s="16" t="s">
        <v>549</v>
      </c>
      <c r="B423" s="30">
        <v>46044.00070445602</v>
      </c>
      <c r="C423" s="16" t="s">
        <v>127</v>
      </c>
      <c r="D423" s="23" t="s">
        <v>128</v>
      </c>
      <c r="E423" s="17">
        <v>4.0</v>
      </c>
    </row>
    <row r="424">
      <c r="A424" s="16" t="s">
        <v>550</v>
      </c>
      <c r="B424" s="30">
        <v>46044.00070445602</v>
      </c>
      <c r="C424" s="16" t="s">
        <v>127</v>
      </c>
      <c r="D424" s="23" t="s">
        <v>128</v>
      </c>
      <c r="E424" s="17">
        <v>4.0</v>
      </c>
    </row>
    <row r="425">
      <c r="A425" s="16" t="s">
        <v>551</v>
      </c>
      <c r="B425" s="30">
        <v>46044.00070445602</v>
      </c>
      <c r="C425" s="16" t="s">
        <v>127</v>
      </c>
      <c r="D425" s="23" t="s">
        <v>128</v>
      </c>
      <c r="E425" s="17">
        <v>4.0</v>
      </c>
    </row>
    <row r="426">
      <c r="A426" s="16" t="s">
        <v>552</v>
      </c>
      <c r="B426" s="30">
        <v>46044.00070445602</v>
      </c>
      <c r="C426" s="16" t="s">
        <v>127</v>
      </c>
      <c r="D426" s="23" t="s">
        <v>128</v>
      </c>
      <c r="E426" s="17">
        <v>4.0</v>
      </c>
    </row>
    <row r="427">
      <c r="A427" s="16" t="s">
        <v>553</v>
      </c>
      <c r="B427" s="30">
        <v>46044.00070445602</v>
      </c>
      <c r="C427" s="16" t="s">
        <v>127</v>
      </c>
      <c r="D427" s="23" t="s">
        <v>128</v>
      </c>
      <c r="E427" s="17">
        <v>4.0</v>
      </c>
    </row>
    <row r="428">
      <c r="A428" s="16" t="s">
        <v>554</v>
      </c>
      <c r="B428" s="30">
        <v>46044.00070445602</v>
      </c>
      <c r="C428" s="16" t="s">
        <v>127</v>
      </c>
      <c r="D428" s="23" t="s">
        <v>128</v>
      </c>
      <c r="E428" s="17">
        <v>4.0</v>
      </c>
    </row>
    <row r="429">
      <c r="A429" s="16" t="s">
        <v>555</v>
      </c>
      <c r="B429" s="30">
        <v>46044.00070445602</v>
      </c>
      <c r="C429" s="16" t="s">
        <v>127</v>
      </c>
      <c r="D429" s="23" t="s">
        <v>128</v>
      </c>
      <c r="E429" s="17">
        <v>4.0</v>
      </c>
    </row>
    <row r="430">
      <c r="A430" s="16" t="s">
        <v>556</v>
      </c>
      <c r="B430" s="30">
        <v>46044.00070445602</v>
      </c>
      <c r="C430" s="16" t="s">
        <v>127</v>
      </c>
      <c r="D430" s="23" t="s">
        <v>128</v>
      </c>
      <c r="E430" s="17">
        <v>4.0</v>
      </c>
    </row>
    <row r="431">
      <c r="A431" s="16" t="s">
        <v>557</v>
      </c>
      <c r="B431" s="30">
        <v>46044.00070445602</v>
      </c>
      <c r="C431" s="16" t="s">
        <v>127</v>
      </c>
      <c r="D431" s="23" t="s">
        <v>128</v>
      </c>
      <c r="E431" s="17">
        <v>4.0</v>
      </c>
    </row>
    <row r="432">
      <c r="A432" s="16" t="s">
        <v>558</v>
      </c>
      <c r="B432" s="30">
        <v>46044.00070445602</v>
      </c>
      <c r="C432" s="16" t="s">
        <v>127</v>
      </c>
      <c r="D432" s="23" t="s">
        <v>128</v>
      </c>
      <c r="E432" s="17">
        <v>4.0</v>
      </c>
    </row>
    <row r="433">
      <c r="A433" s="16" t="s">
        <v>559</v>
      </c>
      <c r="B433" s="30">
        <v>46044.00070445602</v>
      </c>
      <c r="C433" s="16" t="s">
        <v>127</v>
      </c>
      <c r="D433" s="23" t="s">
        <v>128</v>
      </c>
      <c r="E433" s="17">
        <v>4.0</v>
      </c>
    </row>
    <row r="434">
      <c r="A434" s="16" t="s">
        <v>560</v>
      </c>
      <c r="B434" s="30">
        <v>46044.00070467593</v>
      </c>
      <c r="C434" s="16" t="s">
        <v>127</v>
      </c>
      <c r="D434" s="23" t="s">
        <v>128</v>
      </c>
      <c r="E434" s="17">
        <v>4.0</v>
      </c>
    </row>
    <row r="435">
      <c r="A435" s="16" t="s">
        <v>561</v>
      </c>
      <c r="B435" s="30">
        <v>46044.00070467593</v>
      </c>
      <c r="C435" s="16" t="s">
        <v>127</v>
      </c>
      <c r="D435" s="23" t="s">
        <v>128</v>
      </c>
      <c r="E435" s="17">
        <v>4.0</v>
      </c>
    </row>
    <row r="436">
      <c r="A436" s="16" t="s">
        <v>562</v>
      </c>
      <c r="B436" s="30">
        <v>46044.00070467593</v>
      </c>
      <c r="C436" s="16" t="s">
        <v>127</v>
      </c>
      <c r="D436" s="23" t="s">
        <v>128</v>
      </c>
      <c r="E436" s="17">
        <v>4.0</v>
      </c>
    </row>
    <row r="437">
      <c r="A437" s="16" t="s">
        <v>563</v>
      </c>
      <c r="B437" s="30">
        <v>46044.00070467593</v>
      </c>
      <c r="C437" s="16" t="s">
        <v>127</v>
      </c>
      <c r="D437" s="23" t="s">
        <v>128</v>
      </c>
      <c r="E437" s="17">
        <v>4.0</v>
      </c>
    </row>
    <row r="438">
      <c r="A438" s="16" t="s">
        <v>564</v>
      </c>
      <c r="B438" s="30">
        <v>46044.00070467593</v>
      </c>
      <c r="C438" s="16" t="s">
        <v>127</v>
      </c>
      <c r="D438" s="23" t="s">
        <v>128</v>
      </c>
      <c r="E438" s="17">
        <v>4.0</v>
      </c>
    </row>
    <row r="439">
      <c r="A439" s="16" t="s">
        <v>565</v>
      </c>
      <c r="B439" s="30">
        <v>46044.00070467593</v>
      </c>
      <c r="C439" s="16" t="s">
        <v>127</v>
      </c>
      <c r="D439" s="23" t="s">
        <v>128</v>
      </c>
      <c r="E439" s="17">
        <v>4.0</v>
      </c>
    </row>
    <row r="440">
      <c r="A440" s="16" t="s">
        <v>566</v>
      </c>
      <c r="B440" s="30">
        <v>46044.00070467593</v>
      </c>
      <c r="C440" s="16" t="s">
        <v>127</v>
      </c>
      <c r="D440" s="23" t="s">
        <v>128</v>
      </c>
      <c r="E440" s="17">
        <v>4.0</v>
      </c>
    </row>
    <row r="441">
      <c r="A441" s="16" t="s">
        <v>567</v>
      </c>
      <c r="B441" s="30">
        <v>46044.00070467593</v>
      </c>
      <c r="C441" s="16" t="s">
        <v>127</v>
      </c>
      <c r="D441" s="23" t="s">
        <v>128</v>
      </c>
      <c r="E441" s="17">
        <v>4.0</v>
      </c>
    </row>
    <row r="442">
      <c r="A442" s="16" t="s">
        <v>568</v>
      </c>
      <c r="B442" s="30">
        <v>46044.00070467593</v>
      </c>
      <c r="C442" s="16" t="s">
        <v>127</v>
      </c>
      <c r="D442" s="23" t="s">
        <v>128</v>
      </c>
      <c r="E442" s="17">
        <v>4.0</v>
      </c>
    </row>
    <row r="443">
      <c r="A443" s="16" t="s">
        <v>569</v>
      </c>
      <c r="B443" s="30">
        <v>46044.00070467593</v>
      </c>
      <c r="C443" s="16" t="s">
        <v>127</v>
      </c>
      <c r="D443" s="23" t="s">
        <v>128</v>
      </c>
      <c r="E443" s="17">
        <v>4.0</v>
      </c>
    </row>
    <row r="444">
      <c r="A444" s="16" t="s">
        <v>570</v>
      </c>
      <c r="B444" s="30">
        <v>46044.00070467593</v>
      </c>
      <c r="C444" s="16" t="s">
        <v>127</v>
      </c>
      <c r="D444" s="23" t="s">
        <v>128</v>
      </c>
      <c r="E444" s="17">
        <v>4.0</v>
      </c>
    </row>
    <row r="445">
      <c r="A445" s="16" t="s">
        <v>571</v>
      </c>
      <c r="B445" s="30">
        <v>46044.00070467593</v>
      </c>
      <c r="C445" s="16" t="s">
        <v>127</v>
      </c>
      <c r="D445" s="23" t="s">
        <v>128</v>
      </c>
      <c r="E445" s="17">
        <v>4.0</v>
      </c>
    </row>
    <row r="446">
      <c r="A446" s="16" t="s">
        <v>572</v>
      </c>
      <c r="B446" s="30">
        <v>46044.00070467593</v>
      </c>
      <c r="C446" s="16" t="s">
        <v>127</v>
      </c>
      <c r="D446" s="23" t="s">
        <v>128</v>
      </c>
      <c r="E446" s="17">
        <v>4.0</v>
      </c>
    </row>
    <row r="447">
      <c r="A447" s="16" t="s">
        <v>573</v>
      </c>
      <c r="B447" s="30">
        <v>46044.00070467593</v>
      </c>
      <c r="C447" s="16" t="s">
        <v>127</v>
      </c>
      <c r="D447" s="23" t="s">
        <v>128</v>
      </c>
      <c r="E447" s="17">
        <v>4.0</v>
      </c>
    </row>
    <row r="448">
      <c r="A448" s="16" t="s">
        <v>574</v>
      </c>
      <c r="B448" s="30">
        <v>46044.00070467593</v>
      </c>
      <c r="C448" s="16" t="s">
        <v>127</v>
      </c>
      <c r="D448" s="23" t="s">
        <v>128</v>
      </c>
      <c r="E448" s="17">
        <v>4.0</v>
      </c>
    </row>
    <row r="449">
      <c r="A449" s="16" t="s">
        <v>575</v>
      </c>
      <c r="B449" s="30">
        <v>46044.00070467593</v>
      </c>
      <c r="C449" s="16" t="s">
        <v>127</v>
      </c>
      <c r="D449" s="23" t="s">
        <v>128</v>
      </c>
      <c r="E449" s="17">
        <v>4.0</v>
      </c>
    </row>
    <row r="450">
      <c r="A450" s="16" t="s">
        <v>576</v>
      </c>
      <c r="B450" s="30">
        <v>46044.00070467593</v>
      </c>
      <c r="C450" s="16" t="s">
        <v>127</v>
      </c>
      <c r="D450" s="23" t="s">
        <v>128</v>
      </c>
      <c r="E450" s="17">
        <v>4.0</v>
      </c>
    </row>
    <row r="451">
      <c r="A451" s="16" t="s">
        <v>577</v>
      </c>
      <c r="B451" s="30">
        <v>46044.00070467593</v>
      </c>
      <c r="C451" s="16" t="s">
        <v>127</v>
      </c>
      <c r="D451" s="23" t="s">
        <v>128</v>
      </c>
      <c r="E451" s="17">
        <v>4.0</v>
      </c>
    </row>
    <row r="452">
      <c r="A452" s="16" t="s">
        <v>578</v>
      </c>
      <c r="B452" s="30">
        <v>46044.00070467593</v>
      </c>
      <c r="C452" s="16" t="s">
        <v>127</v>
      </c>
      <c r="D452" s="23" t="s">
        <v>128</v>
      </c>
      <c r="E452" s="17">
        <v>4.0</v>
      </c>
    </row>
    <row r="453">
      <c r="A453" s="16" t="s">
        <v>579</v>
      </c>
      <c r="B453" s="30">
        <v>46044.00070467593</v>
      </c>
      <c r="C453" s="16" t="s">
        <v>127</v>
      </c>
      <c r="D453" s="23" t="s">
        <v>128</v>
      </c>
      <c r="E453" s="17">
        <v>4.0</v>
      </c>
    </row>
    <row r="454">
      <c r="A454" s="16" t="s">
        <v>580</v>
      </c>
      <c r="B454" s="30">
        <v>46044.00070467593</v>
      </c>
      <c r="C454" s="16" t="s">
        <v>127</v>
      </c>
      <c r="D454" s="23" t="s">
        <v>128</v>
      </c>
      <c r="E454" s="17">
        <v>4.0</v>
      </c>
    </row>
    <row r="455">
      <c r="A455" s="16" t="s">
        <v>581</v>
      </c>
      <c r="B455" s="30">
        <v>46044.00070467593</v>
      </c>
      <c r="C455" s="16" t="s">
        <v>127</v>
      </c>
      <c r="D455" s="23" t="s">
        <v>128</v>
      </c>
      <c r="E455" s="17">
        <v>4.0</v>
      </c>
    </row>
    <row r="456">
      <c r="A456" s="16" t="s">
        <v>582</v>
      </c>
      <c r="B456" s="30">
        <v>46044.00070467593</v>
      </c>
      <c r="C456" s="16" t="s">
        <v>127</v>
      </c>
      <c r="D456" s="23" t="s">
        <v>128</v>
      </c>
      <c r="E456" s="17">
        <v>4.0</v>
      </c>
    </row>
    <row r="457">
      <c r="A457" s="16" t="s">
        <v>583</v>
      </c>
      <c r="B457" s="30">
        <v>46044.00070467593</v>
      </c>
      <c r="C457" s="16" t="s">
        <v>127</v>
      </c>
      <c r="D457" s="23" t="s">
        <v>128</v>
      </c>
      <c r="E457" s="17">
        <v>4.0</v>
      </c>
    </row>
    <row r="458">
      <c r="A458" s="16" t="s">
        <v>584</v>
      </c>
      <c r="B458" s="30">
        <v>46044.00070467593</v>
      </c>
      <c r="C458" s="16" t="s">
        <v>127</v>
      </c>
      <c r="D458" s="23" t="s">
        <v>128</v>
      </c>
      <c r="E458" s="17">
        <v>4.0</v>
      </c>
    </row>
    <row r="459">
      <c r="A459" s="16" t="s">
        <v>585</v>
      </c>
      <c r="B459" s="30">
        <v>46044.00070467593</v>
      </c>
      <c r="C459" s="16" t="s">
        <v>127</v>
      </c>
      <c r="D459" s="23" t="s">
        <v>128</v>
      </c>
      <c r="E459" s="17">
        <v>4.0</v>
      </c>
    </row>
    <row r="460">
      <c r="A460" s="16" t="s">
        <v>586</v>
      </c>
      <c r="B460" s="30">
        <v>46044.00070467593</v>
      </c>
      <c r="C460" s="16" t="s">
        <v>127</v>
      </c>
      <c r="D460" s="23" t="s">
        <v>128</v>
      </c>
      <c r="E460" s="17">
        <v>4.0</v>
      </c>
    </row>
    <row r="461">
      <c r="A461" s="16" t="s">
        <v>587</v>
      </c>
      <c r="B461" s="30">
        <v>46044.00070467593</v>
      </c>
      <c r="C461" s="16" t="s">
        <v>127</v>
      </c>
      <c r="D461" s="23" t="s">
        <v>128</v>
      </c>
      <c r="E461" s="17">
        <v>4.0</v>
      </c>
    </row>
    <row r="462">
      <c r="A462" s="16" t="s">
        <v>588</v>
      </c>
      <c r="B462" s="30">
        <v>46044.00070467593</v>
      </c>
      <c r="C462" s="16" t="s">
        <v>127</v>
      </c>
      <c r="D462" s="23" t="s">
        <v>128</v>
      </c>
      <c r="E462" s="17">
        <v>4.0</v>
      </c>
    </row>
    <row r="463">
      <c r="A463" s="16" t="s">
        <v>589</v>
      </c>
      <c r="B463" s="30">
        <v>46044.00070467593</v>
      </c>
      <c r="C463" s="16" t="s">
        <v>127</v>
      </c>
      <c r="D463" s="23" t="s">
        <v>128</v>
      </c>
      <c r="E463" s="17">
        <v>4.0</v>
      </c>
    </row>
    <row r="464">
      <c r="A464" s="16" t="s">
        <v>590</v>
      </c>
      <c r="B464" s="30">
        <v>46044.00070467593</v>
      </c>
      <c r="C464" s="16" t="s">
        <v>127</v>
      </c>
      <c r="D464" s="23" t="s">
        <v>128</v>
      </c>
      <c r="E464" s="17">
        <v>4.0</v>
      </c>
    </row>
    <row r="465">
      <c r="A465" s="16" t="s">
        <v>591</v>
      </c>
      <c r="B465" s="30">
        <v>46044.00070467593</v>
      </c>
      <c r="C465" s="16" t="s">
        <v>127</v>
      </c>
      <c r="D465" s="23" t="s">
        <v>128</v>
      </c>
      <c r="E465" s="17">
        <v>4.0</v>
      </c>
    </row>
    <row r="466">
      <c r="A466" s="16" t="s">
        <v>592</v>
      </c>
      <c r="B466" s="30">
        <v>46044.00070467593</v>
      </c>
      <c r="C466" s="16" t="s">
        <v>127</v>
      </c>
      <c r="D466" s="23" t="s">
        <v>128</v>
      </c>
      <c r="E466" s="17">
        <v>4.0</v>
      </c>
    </row>
    <row r="467">
      <c r="A467" s="16" t="s">
        <v>593</v>
      </c>
      <c r="B467" s="30">
        <v>46044.00070467593</v>
      </c>
      <c r="C467" s="16" t="s">
        <v>127</v>
      </c>
      <c r="D467" s="23" t="s">
        <v>128</v>
      </c>
      <c r="E467" s="17">
        <v>4.0</v>
      </c>
    </row>
    <row r="468">
      <c r="A468" s="16" t="s">
        <v>594</v>
      </c>
      <c r="B468" s="30">
        <v>46044.00070467593</v>
      </c>
      <c r="C468" s="16" t="s">
        <v>127</v>
      </c>
      <c r="D468" s="23" t="s">
        <v>128</v>
      </c>
      <c r="E468" s="17">
        <v>4.0</v>
      </c>
    </row>
    <row r="469">
      <c r="A469" s="16" t="s">
        <v>595</v>
      </c>
      <c r="B469" s="30">
        <v>46044.00070467593</v>
      </c>
      <c r="C469" s="16" t="s">
        <v>127</v>
      </c>
      <c r="D469" s="23" t="s">
        <v>128</v>
      </c>
      <c r="E469" s="17">
        <v>4.0</v>
      </c>
    </row>
    <row r="470">
      <c r="A470" s="16" t="s">
        <v>596</v>
      </c>
      <c r="B470" s="30">
        <v>46044.00070467593</v>
      </c>
      <c r="C470" s="16" t="s">
        <v>127</v>
      </c>
      <c r="D470" s="23" t="s">
        <v>128</v>
      </c>
      <c r="E470" s="17">
        <v>4.0</v>
      </c>
    </row>
    <row r="471">
      <c r="A471" s="16" t="s">
        <v>597</v>
      </c>
      <c r="B471" s="30">
        <v>46044.00070467593</v>
      </c>
      <c r="C471" s="16" t="s">
        <v>127</v>
      </c>
      <c r="D471" s="23" t="s">
        <v>128</v>
      </c>
      <c r="E471" s="17">
        <v>4.0</v>
      </c>
    </row>
    <row r="472">
      <c r="A472" s="16" t="s">
        <v>598</v>
      </c>
      <c r="B472" s="30">
        <v>46044.00070467593</v>
      </c>
      <c r="C472" s="16" t="s">
        <v>127</v>
      </c>
      <c r="D472" s="23" t="s">
        <v>128</v>
      </c>
      <c r="E472" s="17">
        <v>4.0</v>
      </c>
    </row>
    <row r="473">
      <c r="A473" s="16" t="s">
        <v>599</v>
      </c>
      <c r="B473" s="30">
        <v>46044.00070467593</v>
      </c>
      <c r="C473" s="16" t="s">
        <v>127</v>
      </c>
      <c r="D473" s="23" t="s">
        <v>128</v>
      </c>
      <c r="E473" s="17">
        <v>4.0</v>
      </c>
    </row>
    <row r="474">
      <c r="A474" s="16" t="s">
        <v>600</v>
      </c>
      <c r="B474" s="30">
        <v>46044.00070467593</v>
      </c>
      <c r="C474" s="16" t="s">
        <v>127</v>
      </c>
      <c r="D474" s="23" t="s">
        <v>128</v>
      </c>
      <c r="E474" s="17">
        <v>4.0</v>
      </c>
    </row>
    <row r="475">
      <c r="A475" s="16" t="s">
        <v>601</v>
      </c>
      <c r="B475" s="30">
        <v>46044.00070467593</v>
      </c>
      <c r="C475" s="16" t="s">
        <v>127</v>
      </c>
      <c r="D475" s="23" t="s">
        <v>128</v>
      </c>
      <c r="E475" s="17">
        <v>4.0</v>
      </c>
    </row>
    <row r="476">
      <c r="A476" s="16" t="s">
        <v>602</v>
      </c>
      <c r="B476" s="30">
        <v>46044.00070467593</v>
      </c>
      <c r="C476" s="16" t="s">
        <v>127</v>
      </c>
      <c r="D476" s="23" t="s">
        <v>128</v>
      </c>
      <c r="E476" s="17">
        <v>4.0</v>
      </c>
    </row>
    <row r="477">
      <c r="A477" s="16" t="s">
        <v>603</v>
      </c>
      <c r="B477" s="30">
        <v>46044.00070467593</v>
      </c>
      <c r="C477" s="16" t="s">
        <v>127</v>
      </c>
      <c r="D477" s="23" t="s">
        <v>128</v>
      </c>
      <c r="E477" s="17">
        <v>4.0</v>
      </c>
    </row>
    <row r="478">
      <c r="A478" s="16" t="s">
        <v>604</v>
      </c>
      <c r="B478" s="30">
        <v>46044.00070467593</v>
      </c>
      <c r="C478" s="16" t="s">
        <v>127</v>
      </c>
      <c r="D478" s="23" t="s">
        <v>128</v>
      </c>
      <c r="E478" s="17">
        <v>4.0</v>
      </c>
    </row>
    <row r="479">
      <c r="A479" s="16" t="s">
        <v>605</v>
      </c>
      <c r="B479" s="30">
        <v>46044.00070467593</v>
      </c>
      <c r="C479" s="16" t="s">
        <v>127</v>
      </c>
      <c r="D479" s="23" t="s">
        <v>128</v>
      </c>
      <c r="E479" s="17">
        <v>4.0</v>
      </c>
    </row>
    <row r="480">
      <c r="A480" s="16" t="s">
        <v>606</v>
      </c>
      <c r="B480" s="30">
        <v>46044.00070467593</v>
      </c>
      <c r="C480" s="16" t="s">
        <v>127</v>
      </c>
      <c r="D480" s="23" t="s">
        <v>128</v>
      </c>
      <c r="E480" s="17">
        <v>4.0</v>
      </c>
    </row>
    <row r="481">
      <c r="A481" s="16" t="s">
        <v>607</v>
      </c>
      <c r="B481" s="30">
        <v>46044.00070467593</v>
      </c>
      <c r="C481" s="16" t="s">
        <v>127</v>
      </c>
      <c r="D481" s="23" t="s">
        <v>128</v>
      </c>
      <c r="E481" s="17">
        <v>4.0</v>
      </c>
    </row>
    <row r="482">
      <c r="A482" s="16" t="s">
        <v>608</v>
      </c>
      <c r="B482" s="30">
        <v>46044.00070467593</v>
      </c>
      <c r="C482" s="16" t="s">
        <v>127</v>
      </c>
      <c r="D482" s="23" t="s">
        <v>128</v>
      </c>
      <c r="E482" s="17">
        <v>4.0</v>
      </c>
    </row>
    <row r="483">
      <c r="A483" s="16" t="s">
        <v>609</v>
      </c>
      <c r="B483" s="30">
        <v>46044.00070467593</v>
      </c>
      <c r="C483" s="16" t="s">
        <v>127</v>
      </c>
      <c r="D483" s="23" t="s">
        <v>128</v>
      </c>
      <c r="E483" s="17">
        <v>4.0</v>
      </c>
    </row>
    <row r="484">
      <c r="A484" s="16" t="s">
        <v>610</v>
      </c>
      <c r="B484" s="30">
        <v>46044.00070467593</v>
      </c>
      <c r="C484" s="16" t="s">
        <v>127</v>
      </c>
      <c r="D484" s="23" t="s">
        <v>128</v>
      </c>
      <c r="E484" s="17">
        <v>4.0</v>
      </c>
    </row>
    <row r="485">
      <c r="A485" s="16" t="s">
        <v>611</v>
      </c>
      <c r="B485" s="30">
        <v>46044.00070467593</v>
      </c>
      <c r="C485" s="16" t="s">
        <v>127</v>
      </c>
      <c r="D485" s="23" t="s">
        <v>128</v>
      </c>
      <c r="E485" s="17">
        <v>4.0</v>
      </c>
    </row>
    <row r="486">
      <c r="A486" s="16" t="s">
        <v>612</v>
      </c>
      <c r="B486" s="30">
        <v>46044.00070467593</v>
      </c>
      <c r="C486" s="16" t="s">
        <v>127</v>
      </c>
      <c r="D486" s="23" t="s">
        <v>128</v>
      </c>
      <c r="E486" s="17">
        <v>4.0</v>
      </c>
    </row>
    <row r="487">
      <c r="A487" s="16" t="s">
        <v>613</v>
      </c>
      <c r="B487" s="30">
        <v>46044.00070467593</v>
      </c>
      <c r="C487" s="16" t="s">
        <v>127</v>
      </c>
      <c r="D487" s="23" t="s">
        <v>128</v>
      </c>
      <c r="E487" s="17">
        <v>4.0</v>
      </c>
    </row>
    <row r="488">
      <c r="A488" s="16" t="s">
        <v>614</v>
      </c>
      <c r="B488" s="30">
        <v>46044.00070467593</v>
      </c>
      <c r="C488" s="16" t="s">
        <v>127</v>
      </c>
      <c r="D488" s="23" t="s">
        <v>128</v>
      </c>
      <c r="E488" s="17">
        <v>4.0</v>
      </c>
    </row>
    <row r="489">
      <c r="A489" s="16" t="s">
        <v>615</v>
      </c>
      <c r="B489" s="30">
        <v>46044.00070467593</v>
      </c>
      <c r="C489" s="16" t="s">
        <v>127</v>
      </c>
      <c r="D489" s="23" t="s">
        <v>128</v>
      </c>
      <c r="E489" s="17">
        <v>4.0</v>
      </c>
    </row>
    <row r="490">
      <c r="A490" s="16" t="s">
        <v>616</v>
      </c>
      <c r="B490" s="30">
        <v>46044.00070467593</v>
      </c>
      <c r="C490" s="16" t="s">
        <v>127</v>
      </c>
      <c r="D490" s="23" t="s">
        <v>128</v>
      </c>
      <c r="E490" s="17">
        <v>4.0</v>
      </c>
    </row>
    <row r="491">
      <c r="A491" s="16" t="s">
        <v>617</v>
      </c>
      <c r="B491" s="30">
        <v>46044.00070467593</v>
      </c>
      <c r="C491" s="16" t="s">
        <v>127</v>
      </c>
      <c r="D491" s="23" t="s">
        <v>128</v>
      </c>
      <c r="E491" s="17">
        <v>4.0</v>
      </c>
    </row>
    <row r="492">
      <c r="A492" s="16" t="s">
        <v>618</v>
      </c>
      <c r="B492" s="30">
        <v>46044.00070467593</v>
      </c>
      <c r="C492" s="16" t="s">
        <v>127</v>
      </c>
      <c r="D492" s="23" t="s">
        <v>128</v>
      </c>
      <c r="E492" s="17">
        <v>4.0</v>
      </c>
    </row>
    <row r="493">
      <c r="A493" s="16" t="s">
        <v>619</v>
      </c>
      <c r="B493" s="30">
        <v>46044.00070467593</v>
      </c>
      <c r="C493" s="16" t="s">
        <v>127</v>
      </c>
      <c r="D493" s="23" t="s">
        <v>128</v>
      </c>
      <c r="E493" s="17">
        <v>4.0</v>
      </c>
    </row>
    <row r="494">
      <c r="A494" s="16" t="s">
        <v>620</v>
      </c>
      <c r="B494" s="30">
        <v>46044.00070467593</v>
      </c>
      <c r="C494" s="16" t="s">
        <v>127</v>
      </c>
      <c r="D494" s="23" t="s">
        <v>128</v>
      </c>
      <c r="E494" s="17">
        <v>4.0</v>
      </c>
    </row>
    <row r="495">
      <c r="A495" s="16" t="s">
        <v>621</v>
      </c>
      <c r="B495" s="30">
        <v>46044.00070467593</v>
      </c>
      <c r="C495" s="16" t="s">
        <v>127</v>
      </c>
      <c r="D495" s="23" t="s">
        <v>128</v>
      </c>
      <c r="E495" s="17">
        <v>4.0</v>
      </c>
    </row>
    <row r="496">
      <c r="A496" s="16" t="s">
        <v>622</v>
      </c>
      <c r="B496" s="30">
        <v>46044.00070467593</v>
      </c>
      <c r="C496" s="16" t="s">
        <v>127</v>
      </c>
      <c r="D496" s="23" t="s">
        <v>128</v>
      </c>
      <c r="E496" s="17">
        <v>4.0</v>
      </c>
    </row>
    <row r="497">
      <c r="A497" s="16" t="s">
        <v>623</v>
      </c>
      <c r="B497" s="30">
        <v>46044.00070467593</v>
      </c>
      <c r="C497" s="16" t="s">
        <v>127</v>
      </c>
      <c r="D497" s="23" t="s">
        <v>128</v>
      </c>
      <c r="E497" s="17">
        <v>4.0</v>
      </c>
    </row>
    <row r="498">
      <c r="A498" s="16" t="s">
        <v>624</v>
      </c>
      <c r="B498" s="30">
        <v>46044.00070467593</v>
      </c>
      <c r="C498" s="16" t="s">
        <v>127</v>
      </c>
      <c r="D498" s="23" t="s">
        <v>128</v>
      </c>
      <c r="E498" s="17">
        <v>4.0</v>
      </c>
    </row>
    <row r="499">
      <c r="A499" s="16" t="s">
        <v>625</v>
      </c>
      <c r="B499" s="30">
        <v>46044.00070467593</v>
      </c>
      <c r="C499" s="16" t="s">
        <v>127</v>
      </c>
      <c r="D499" s="23" t="s">
        <v>128</v>
      </c>
      <c r="E499" s="17">
        <v>4.0</v>
      </c>
    </row>
    <row r="500">
      <c r="A500" s="16" t="s">
        <v>626</v>
      </c>
      <c r="B500" s="30">
        <v>46044.00070467593</v>
      </c>
      <c r="C500" s="16" t="s">
        <v>127</v>
      </c>
      <c r="D500" s="23" t="s">
        <v>128</v>
      </c>
      <c r="E500" s="17">
        <v>4.0</v>
      </c>
    </row>
    <row r="501">
      <c r="A501" s="16" t="s">
        <v>627</v>
      </c>
      <c r="B501" s="30">
        <v>46044.00070467593</v>
      </c>
      <c r="C501" s="16" t="s">
        <v>127</v>
      </c>
      <c r="D501" s="23" t="s">
        <v>128</v>
      </c>
      <c r="E501" s="17">
        <v>4.0</v>
      </c>
    </row>
    <row r="502">
      <c r="A502" s="16" t="s">
        <v>628</v>
      </c>
      <c r="B502" s="30">
        <v>46044.00070467593</v>
      </c>
      <c r="C502" s="16" t="s">
        <v>127</v>
      </c>
      <c r="D502" s="23" t="s">
        <v>128</v>
      </c>
      <c r="E502" s="17">
        <v>4.0</v>
      </c>
    </row>
    <row r="503">
      <c r="A503" s="16" t="s">
        <v>629</v>
      </c>
      <c r="B503" s="30">
        <v>46044.00070467593</v>
      </c>
      <c r="C503" s="16" t="s">
        <v>127</v>
      </c>
      <c r="D503" s="23" t="s">
        <v>128</v>
      </c>
      <c r="E503" s="17">
        <v>4.0</v>
      </c>
    </row>
    <row r="504">
      <c r="A504" s="16" t="s">
        <v>630</v>
      </c>
      <c r="B504" s="30">
        <v>46044.00070467593</v>
      </c>
      <c r="C504" s="16" t="s">
        <v>127</v>
      </c>
      <c r="D504" s="23" t="s">
        <v>128</v>
      </c>
      <c r="E504" s="17">
        <v>4.0</v>
      </c>
    </row>
    <row r="505">
      <c r="A505" s="16" t="s">
        <v>631</v>
      </c>
      <c r="B505" s="30">
        <v>46044.00070467593</v>
      </c>
      <c r="C505" s="16" t="s">
        <v>127</v>
      </c>
      <c r="D505" s="23" t="s">
        <v>128</v>
      </c>
      <c r="E505" s="17">
        <v>4.0</v>
      </c>
    </row>
    <row r="506">
      <c r="A506" s="16" t="s">
        <v>632</v>
      </c>
      <c r="B506" s="30">
        <v>46044.00070467593</v>
      </c>
      <c r="C506" s="16" t="s">
        <v>127</v>
      </c>
      <c r="D506" s="23" t="s">
        <v>128</v>
      </c>
      <c r="E506" s="17">
        <v>4.0</v>
      </c>
    </row>
    <row r="507">
      <c r="A507" s="16" t="s">
        <v>633</v>
      </c>
      <c r="B507" s="30">
        <v>46044.00070467593</v>
      </c>
      <c r="C507" s="16" t="s">
        <v>127</v>
      </c>
      <c r="D507" s="23" t="s">
        <v>128</v>
      </c>
      <c r="E507" s="17">
        <v>4.0</v>
      </c>
    </row>
    <row r="508">
      <c r="A508" s="16" t="s">
        <v>634</v>
      </c>
      <c r="B508" s="30">
        <v>46044.00070467593</v>
      </c>
      <c r="C508" s="16" t="s">
        <v>127</v>
      </c>
      <c r="D508" s="23" t="s">
        <v>128</v>
      </c>
      <c r="E508" s="17">
        <v>4.0</v>
      </c>
    </row>
    <row r="509">
      <c r="A509" s="16" t="s">
        <v>635</v>
      </c>
      <c r="B509" s="30">
        <v>46044.00070467593</v>
      </c>
      <c r="C509" s="16" t="s">
        <v>127</v>
      </c>
      <c r="D509" s="23" t="s">
        <v>128</v>
      </c>
      <c r="E509" s="17">
        <v>4.0</v>
      </c>
    </row>
    <row r="510">
      <c r="A510" s="16" t="s">
        <v>636</v>
      </c>
      <c r="B510" s="30">
        <v>46044.00070467593</v>
      </c>
      <c r="C510" s="16" t="s">
        <v>127</v>
      </c>
      <c r="D510" s="23" t="s">
        <v>128</v>
      </c>
      <c r="E510" s="17">
        <v>4.0</v>
      </c>
    </row>
    <row r="511">
      <c r="A511" s="16" t="s">
        <v>637</v>
      </c>
      <c r="B511" s="30">
        <v>46044.00070467593</v>
      </c>
      <c r="C511" s="16" t="s">
        <v>127</v>
      </c>
      <c r="D511" s="23" t="s">
        <v>128</v>
      </c>
      <c r="E511" s="17">
        <v>4.0</v>
      </c>
    </row>
    <row r="512">
      <c r="A512" s="16" t="s">
        <v>638</v>
      </c>
      <c r="B512" s="30">
        <v>46044.00070467593</v>
      </c>
      <c r="C512" s="16" t="s">
        <v>127</v>
      </c>
      <c r="D512" s="23" t="s">
        <v>128</v>
      </c>
      <c r="E512" s="17">
        <v>4.0</v>
      </c>
    </row>
    <row r="513">
      <c r="A513" s="16" t="s">
        <v>639</v>
      </c>
      <c r="B513" s="30">
        <v>46044.000704687496</v>
      </c>
      <c r="C513" s="16" t="s">
        <v>127</v>
      </c>
      <c r="D513" s="23" t="s">
        <v>128</v>
      </c>
      <c r="E513" s="17">
        <v>4.0</v>
      </c>
    </row>
    <row r="514">
      <c r="A514" s="16" t="s">
        <v>640</v>
      </c>
      <c r="B514" s="30">
        <v>46044.000704687496</v>
      </c>
      <c r="C514" s="16" t="s">
        <v>127</v>
      </c>
      <c r="D514" s="23" t="s">
        <v>128</v>
      </c>
      <c r="E514" s="17">
        <v>4.0</v>
      </c>
    </row>
    <row r="515">
      <c r="A515" s="16" t="s">
        <v>641</v>
      </c>
      <c r="B515" s="30">
        <v>46044.000704687496</v>
      </c>
      <c r="C515" s="16" t="s">
        <v>127</v>
      </c>
      <c r="D515" s="23" t="s">
        <v>128</v>
      </c>
      <c r="E515" s="17">
        <v>4.0</v>
      </c>
    </row>
    <row r="516">
      <c r="A516" s="16" t="s">
        <v>642</v>
      </c>
      <c r="B516" s="30">
        <v>46044.000704687496</v>
      </c>
      <c r="C516" s="16" t="s">
        <v>127</v>
      </c>
      <c r="D516" s="23" t="s">
        <v>128</v>
      </c>
      <c r="E516" s="17">
        <v>4.0</v>
      </c>
    </row>
    <row r="517">
      <c r="A517" s="16" t="s">
        <v>643</v>
      </c>
      <c r="B517" s="30">
        <v>46044.000704687496</v>
      </c>
      <c r="C517" s="16" t="s">
        <v>127</v>
      </c>
      <c r="D517" s="23" t="s">
        <v>128</v>
      </c>
      <c r="E517" s="17">
        <v>4.0</v>
      </c>
    </row>
    <row r="518">
      <c r="A518" s="16" t="s">
        <v>644</v>
      </c>
      <c r="B518" s="30">
        <v>46044.000704687496</v>
      </c>
      <c r="C518" s="16" t="s">
        <v>127</v>
      </c>
      <c r="D518" s="23" t="s">
        <v>128</v>
      </c>
      <c r="E518" s="17">
        <v>4.0</v>
      </c>
    </row>
    <row r="519">
      <c r="A519" s="16" t="s">
        <v>645</v>
      </c>
      <c r="B519" s="30">
        <v>46044.000704687496</v>
      </c>
      <c r="C519" s="16" t="s">
        <v>127</v>
      </c>
      <c r="D519" s="23" t="s">
        <v>128</v>
      </c>
      <c r="E519" s="17">
        <v>4.0</v>
      </c>
    </row>
    <row r="520">
      <c r="A520" s="16" t="s">
        <v>646</v>
      </c>
      <c r="B520" s="30">
        <v>46044.000704687496</v>
      </c>
      <c r="C520" s="16" t="s">
        <v>127</v>
      </c>
      <c r="D520" s="23" t="s">
        <v>128</v>
      </c>
      <c r="E520" s="17">
        <v>4.0</v>
      </c>
    </row>
    <row r="521">
      <c r="A521" s="16" t="s">
        <v>647</v>
      </c>
      <c r="B521" s="30">
        <v>46044.000704687496</v>
      </c>
      <c r="C521" s="16" t="s">
        <v>127</v>
      </c>
      <c r="D521" s="23" t="s">
        <v>128</v>
      </c>
      <c r="E521" s="17">
        <v>4.0</v>
      </c>
    </row>
    <row r="522">
      <c r="A522" s="16" t="s">
        <v>648</v>
      </c>
      <c r="B522" s="30">
        <v>46044.000704687496</v>
      </c>
      <c r="C522" s="16" t="s">
        <v>127</v>
      </c>
      <c r="D522" s="23" t="s">
        <v>128</v>
      </c>
      <c r="E522" s="17">
        <v>4.0</v>
      </c>
    </row>
    <row r="523">
      <c r="A523" s="16" t="s">
        <v>649</v>
      </c>
      <c r="B523" s="30">
        <v>46044.000704687496</v>
      </c>
      <c r="C523" s="16" t="s">
        <v>127</v>
      </c>
      <c r="D523" s="23" t="s">
        <v>128</v>
      </c>
      <c r="E523" s="17">
        <v>4.0</v>
      </c>
    </row>
    <row r="524">
      <c r="A524" s="16" t="s">
        <v>650</v>
      </c>
      <c r="B524" s="30">
        <v>46044.000704687496</v>
      </c>
      <c r="C524" s="16" t="s">
        <v>127</v>
      </c>
      <c r="D524" s="23" t="s">
        <v>128</v>
      </c>
      <c r="E524" s="17">
        <v>4.0</v>
      </c>
    </row>
    <row r="525">
      <c r="A525" s="16" t="s">
        <v>651</v>
      </c>
      <c r="B525" s="30">
        <v>46044.000704687496</v>
      </c>
      <c r="C525" s="16" t="s">
        <v>127</v>
      </c>
      <c r="D525" s="23" t="s">
        <v>128</v>
      </c>
      <c r="E525" s="17">
        <v>4.0</v>
      </c>
    </row>
    <row r="526">
      <c r="A526" s="16" t="s">
        <v>652</v>
      </c>
      <c r="B526" s="30">
        <v>46044.000704687496</v>
      </c>
      <c r="C526" s="16" t="s">
        <v>127</v>
      </c>
      <c r="D526" s="23" t="s">
        <v>128</v>
      </c>
      <c r="E526" s="17">
        <v>4.0</v>
      </c>
    </row>
    <row r="527">
      <c r="A527" s="16" t="s">
        <v>653</v>
      </c>
      <c r="B527" s="30">
        <v>46044.000704687496</v>
      </c>
      <c r="C527" s="16" t="s">
        <v>127</v>
      </c>
      <c r="D527" s="23" t="s">
        <v>128</v>
      </c>
      <c r="E527" s="17">
        <v>4.0</v>
      </c>
    </row>
    <row r="528">
      <c r="A528" s="16" t="s">
        <v>654</v>
      </c>
      <c r="B528" s="30">
        <v>46044.000704687496</v>
      </c>
      <c r="C528" s="16" t="s">
        <v>127</v>
      </c>
      <c r="D528" s="23" t="s">
        <v>128</v>
      </c>
      <c r="E528" s="17">
        <v>4.0</v>
      </c>
    </row>
    <row r="529">
      <c r="A529" s="16" t="s">
        <v>655</v>
      </c>
      <c r="B529" s="30">
        <v>46044.000704687496</v>
      </c>
      <c r="C529" s="16" t="s">
        <v>127</v>
      </c>
      <c r="D529" s="23" t="s">
        <v>128</v>
      </c>
      <c r="E529" s="17">
        <v>4.0</v>
      </c>
    </row>
    <row r="530">
      <c r="A530" s="16" t="s">
        <v>656</v>
      </c>
      <c r="B530" s="30">
        <v>46044.000704687496</v>
      </c>
      <c r="C530" s="16" t="s">
        <v>127</v>
      </c>
      <c r="D530" s="23" t="s">
        <v>128</v>
      </c>
      <c r="E530" s="17">
        <v>4.0</v>
      </c>
    </row>
    <row r="531">
      <c r="A531" s="16" t="s">
        <v>657</v>
      </c>
      <c r="B531" s="30">
        <v>46044.000704687496</v>
      </c>
      <c r="C531" s="16" t="s">
        <v>127</v>
      </c>
      <c r="D531" s="23" t="s">
        <v>128</v>
      </c>
      <c r="E531" s="17">
        <v>4.0</v>
      </c>
    </row>
    <row r="532">
      <c r="A532" s="16" t="s">
        <v>658</v>
      </c>
      <c r="B532" s="30">
        <v>46044.000704687496</v>
      </c>
      <c r="C532" s="16" t="s">
        <v>127</v>
      </c>
      <c r="D532" s="23" t="s">
        <v>128</v>
      </c>
      <c r="E532" s="17">
        <v>4.0</v>
      </c>
    </row>
    <row r="533">
      <c r="A533" s="16" t="s">
        <v>659</v>
      </c>
      <c r="B533" s="30">
        <v>46044.000704687496</v>
      </c>
      <c r="C533" s="16" t="s">
        <v>127</v>
      </c>
      <c r="D533" s="23" t="s">
        <v>128</v>
      </c>
      <c r="E533" s="17">
        <v>4.0</v>
      </c>
    </row>
    <row r="534">
      <c r="A534" s="16" t="s">
        <v>660</v>
      </c>
      <c r="B534" s="30">
        <v>46044.000704687496</v>
      </c>
      <c r="C534" s="16" t="s">
        <v>127</v>
      </c>
      <c r="D534" s="23" t="s">
        <v>128</v>
      </c>
      <c r="E534" s="17">
        <v>4.0</v>
      </c>
    </row>
    <row r="535">
      <c r="A535" s="16" t="s">
        <v>661</v>
      </c>
      <c r="B535" s="30">
        <v>46044.000704687496</v>
      </c>
      <c r="C535" s="16" t="s">
        <v>127</v>
      </c>
      <c r="D535" s="23" t="s">
        <v>128</v>
      </c>
      <c r="E535" s="17">
        <v>4.0</v>
      </c>
    </row>
    <row r="536">
      <c r="A536" s="16" t="s">
        <v>662</v>
      </c>
      <c r="B536" s="30">
        <v>46044.000704687496</v>
      </c>
      <c r="C536" s="16" t="s">
        <v>127</v>
      </c>
      <c r="D536" s="23" t="s">
        <v>128</v>
      </c>
      <c r="E536" s="17">
        <v>4.0</v>
      </c>
    </row>
    <row r="537">
      <c r="A537" s="16" t="s">
        <v>663</v>
      </c>
      <c r="B537" s="30">
        <v>46044.000704687496</v>
      </c>
      <c r="C537" s="16" t="s">
        <v>127</v>
      </c>
      <c r="D537" s="23" t="s">
        <v>128</v>
      </c>
      <c r="E537" s="17">
        <v>4.0</v>
      </c>
    </row>
    <row r="538">
      <c r="A538" s="16" t="s">
        <v>664</v>
      </c>
      <c r="B538" s="30">
        <v>46044.000704687496</v>
      </c>
      <c r="C538" s="16" t="s">
        <v>127</v>
      </c>
      <c r="D538" s="23" t="s">
        <v>128</v>
      </c>
      <c r="E538" s="17">
        <v>4.0</v>
      </c>
    </row>
    <row r="539">
      <c r="A539" s="16" t="s">
        <v>665</v>
      </c>
      <c r="B539" s="30">
        <v>46044.000704687496</v>
      </c>
      <c r="C539" s="16" t="s">
        <v>127</v>
      </c>
      <c r="D539" s="23" t="s">
        <v>128</v>
      </c>
      <c r="E539" s="17">
        <v>4.0</v>
      </c>
    </row>
    <row r="540">
      <c r="A540" s="16" t="s">
        <v>666</v>
      </c>
      <c r="B540" s="30">
        <v>46044.000704687496</v>
      </c>
      <c r="C540" s="16" t="s">
        <v>127</v>
      </c>
      <c r="D540" s="23" t="s">
        <v>128</v>
      </c>
      <c r="E540" s="17">
        <v>4.0</v>
      </c>
    </row>
    <row r="541">
      <c r="A541" s="16" t="s">
        <v>667</v>
      </c>
      <c r="B541" s="30">
        <v>46044.000704687496</v>
      </c>
      <c r="C541" s="16" t="s">
        <v>127</v>
      </c>
      <c r="D541" s="23" t="s">
        <v>128</v>
      </c>
      <c r="E541" s="17">
        <v>4.0</v>
      </c>
    </row>
    <row r="542">
      <c r="A542" s="16" t="s">
        <v>668</v>
      </c>
      <c r="B542" s="30">
        <v>46044.000704687496</v>
      </c>
      <c r="C542" s="16" t="s">
        <v>127</v>
      </c>
      <c r="D542" s="23" t="s">
        <v>128</v>
      </c>
      <c r="E542" s="17">
        <v>4.0</v>
      </c>
    </row>
    <row r="543">
      <c r="A543" s="16" t="s">
        <v>669</v>
      </c>
      <c r="B543" s="30">
        <v>46044.000704687496</v>
      </c>
      <c r="C543" s="16" t="s">
        <v>127</v>
      </c>
      <c r="D543" s="23" t="s">
        <v>128</v>
      </c>
      <c r="E543" s="17">
        <v>4.0</v>
      </c>
    </row>
    <row r="544">
      <c r="A544" s="16" t="s">
        <v>670</v>
      </c>
      <c r="B544" s="30">
        <v>46044.000704687496</v>
      </c>
      <c r="C544" s="16" t="s">
        <v>127</v>
      </c>
      <c r="D544" s="23" t="s">
        <v>128</v>
      </c>
      <c r="E544" s="17">
        <v>4.0</v>
      </c>
    </row>
    <row r="545">
      <c r="A545" s="16" t="s">
        <v>671</v>
      </c>
      <c r="B545" s="30">
        <v>46044.000704687496</v>
      </c>
      <c r="C545" s="16" t="s">
        <v>127</v>
      </c>
      <c r="D545" s="23" t="s">
        <v>128</v>
      </c>
      <c r="E545" s="17">
        <v>4.0</v>
      </c>
    </row>
    <row r="546">
      <c r="A546" s="16" t="s">
        <v>672</v>
      </c>
      <c r="B546" s="30">
        <v>46044.000704687496</v>
      </c>
      <c r="C546" s="16" t="s">
        <v>127</v>
      </c>
      <c r="D546" s="23" t="s">
        <v>128</v>
      </c>
      <c r="E546" s="17">
        <v>4.0</v>
      </c>
    </row>
    <row r="547">
      <c r="A547" s="16" t="s">
        <v>673</v>
      </c>
      <c r="B547" s="30">
        <v>46044.00070472222</v>
      </c>
      <c r="C547" s="16" t="s">
        <v>127</v>
      </c>
      <c r="D547" s="23" t="s">
        <v>128</v>
      </c>
      <c r="E547" s="17">
        <v>4.0</v>
      </c>
    </row>
    <row r="548">
      <c r="A548" s="16" t="s">
        <v>674</v>
      </c>
      <c r="B548" s="30">
        <v>46044.00070472222</v>
      </c>
      <c r="C548" s="16" t="s">
        <v>127</v>
      </c>
      <c r="D548" s="23" t="s">
        <v>128</v>
      </c>
      <c r="E548" s="17">
        <v>4.0</v>
      </c>
    </row>
    <row r="549">
      <c r="A549" s="16" t="s">
        <v>675</v>
      </c>
      <c r="B549" s="30">
        <v>46044.00070472222</v>
      </c>
      <c r="C549" s="16" t="s">
        <v>127</v>
      </c>
      <c r="D549" s="23" t="s">
        <v>128</v>
      </c>
      <c r="E549" s="17">
        <v>4.0</v>
      </c>
    </row>
    <row r="550">
      <c r="A550" s="16" t="s">
        <v>676</v>
      </c>
      <c r="B550" s="30">
        <v>46044.00070472222</v>
      </c>
      <c r="C550" s="16" t="s">
        <v>127</v>
      </c>
      <c r="D550" s="23" t="s">
        <v>128</v>
      </c>
      <c r="E550" s="17">
        <v>4.0</v>
      </c>
    </row>
    <row r="551">
      <c r="A551" s="16" t="s">
        <v>677</v>
      </c>
      <c r="B551" s="30">
        <v>46044.00070472222</v>
      </c>
      <c r="C551" s="16" t="s">
        <v>127</v>
      </c>
      <c r="D551" s="23" t="s">
        <v>128</v>
      </c>
      <c r="E551" s="17">
        <v>4.0</v>
      </c>
    </row>
    <row r="552">
      <c r="A552" s="16" t="s">
        <v>678</v>
      </c>
      <c r="B552" s="30">
        <v>46044.00070472222</v>
      </c>
      <c r="C552" s="16" t="s">
        <v>127</v>
      </c>
      <c r="D552" s="23" t="s">
        <v>128</v>
      </c>
      <c r="E552" s="17">
        <v>4.0</v>
      </c>
    </row>
    <row r="553">
      <c r="A553" s="16" t="s">
        <v>679</v>
      </c>
      <c r="B553" s="30">
        <v>46044.00070472222</v>
      </c>
      <c r="C553" s="16" t="s">
        <v>127</v>
      </c>
      <c r="D553" s="23" t="s">
        <v>128</v>
      </c>
      <c r="E553" s="17">
        <v>4.0</v>
      </c>
    </row>
    <row r="554">
      <c r="A554" s="16" t="s">
        <v>680</v>
      </c>
      <c r="B554" s="30">
        <v>46044.00070472222</v>
      </c>
      <c r="C554" s="16" t="s">
        <v>127</v>
      </c>
      <c r="D554" s="23" t="s">
        <v>128</v>
      </c>
      <c r="E554" s="17">
        <v>4.0</v>
      </c>
    </row>
    <row r="555">
      <c r="A555" s="16" t="s">
        <v>681</v>
      </c>
      <c r="B555" s="30">
        <v>46044.00070472222</v>
      </c>
      <c r="C555" s="16" t="s">
        <v>127</v>
      </c>
      <c r="D555" s="23" t="s">
        <v>128</v>
      </c>
      <c r="E555" s="17">
        <v>4.0</v>
      </c>
    </row>
    <row r="556">
      <c r="A556" s="16" t="s">
        <v>682</v>
      </c>
      <c r="B556" s="30">
        <v>46044.00070472222</v>
      </c>
      <c r="C556" s="16" t="s">
        <v>127</v>
      </c>
      <c r="D556" s="23" t="s">
        <v>128</v>
      </c>
      <c r="E556" s="17">
        <v>4.0</v>
      </c>
    </row>
    <row r="557">
      <c r="A557" s="16" t="s">
        <v>683</v>
      </c>
      <c r="B557" s="30">
        <v>46044.00070472222</v>
      </c>
      <c r="C557" s="16" t="s">
        <v>127</v>
      </c>
      <c r="D557" s="23" t="s">
        <v>128</v>
      </c>
      <c r="E557" s="17">
        <v>4.0</v>
      </c>
    </row>
    <row r="558">
      <c r="A558" s="16" t="s">
        <v>684</v>
      </c>
      <c r="B558" s="30">
        <v>46044.00070472222</v>
      </c>
      <c r="C558" s="16" t="s">
        <v>127</v>
      </c>
      <c r="D558" s="23" t="s">
        <v>128</v>
      </c>
      <c r="E558" s="17">
        <v>4.0</v>
      </c>
    </row>
    <row r="559">
      <c r="A559" s="16" t="s">
        <v>685</v>
      </c>
      <c r="B559" s="30">
        <v>46044.00070472222</v>
      </c>
      <c r="C559" s="16" t="s">
        <v>127</v>
      </c>
      <c r="D559" s="23" t="s">
        <v>128</v>
      </c>
      <c r="E559" s="17">
        <v>4.0</v>
      </c>
    </row>
    <row r="560">
      <c r="A560" s="16" t="s">
        <v>686</v>
      </c>
      <c r="B560" s="30">
        <v>46044.00070472222</v>
      </c>
      <c r="C560" s="16" t="s">
        <v>127</v>
      </c>
      <c r="D560" s="23" t="s">
        <v>128</v>
      </c>
      <c r="E560" s="17">
        <v>4.0</v>
      </c>
    </row>
    <row r="561">
      <c r="A561" s="16" t="s">
        <v>687</v>
      </c>
      <c r="B561" s="30">
        <v>46044.00070472222</v>
      </c>
      <c r="C561" s="16" t="s">
        <v>127</v>
      </c>
      <c r="D561" s="23" t="s">
        <v>128</v>
      </c>
      <c r="E561" s="17">
        <v>4.0</v>
      </c>
    </row>
    <row r="562">
      <c r="A562" s="16" t="s">
        <v>688</v>
      </c>
      <c r="B562" s="30">
        <v>46044.00070472222</v>
      </c>
      <c r="C562" s="16" t="s">
        <v>127</v>
      </c>
      <c r="D562" s="23" t="s">
        <v>128</v>
      </c>
      <c r="E562" s="17">
        <v>4.0</v>
      </c>
    </row>
    <row r="563">
      <c r="A563" s="16" t="s">
        <v>689</v>
      </c>
      <c r="B563" s="30">
        <v>46044.00070472222</v>
      </c>
      <c r="C563" s="16" t="s">
        <v>127</v>
      </c>
      <c r="D563" s="23" t="s">
        <v>128</v>
      </c>
      <c r="E563" s="17">
        <v>4.0</v>
      </c>
    </row>
    <row r="564">
      <c r="A564" s="16" t="s">
        <v>690</v>
      </c>
      <c r="B564" s="30">
        <v>46044.00070472222</v>
      </c>
      <c r="C564" s="16" t="s">
        <v>127</v>
      </c>
      <c r="D564" s="23" t="s">
        <v>128</v>
      </c>
      <c r="E564" s="17">
        <v>4.0</v>
      </c>
    </row>
    <row r="565">
      <c r="A565" s="16" t="s">
        <v>691</v>
      </c>
      <c r="B565" s="30">
        <v>46044.00070472222</v>
      </c>
      <c r="C565" s="16" t="s">
        <v>127</v>
      </c>
      <c r="D565" s="23" t="s">
        <v>128</v>
      </c>
      <c r="E565" s="17">
        <v>4.0</v>
      </c>
    </row>
    <row r="566">
      <c r="A566" s="16" t="s">
        <v>692</v>
      </c>
      <c r="B566" s="30">
        <v>46044.00070472222</v>
      </c>
      <c r="C566" s="16" t="s">
        <v>127</v>
      </c>
      <c r="D566" s="23" t="s">
        <v>128</v>
      </c>
      <c r="E566" s="17">
        <v>4.0</v>
      </c>
    </row>
    <row r="567">
      <c r="A567" s="16" t="s">
        <v>693</v>
      </c>
      <c r="B567" s="30">
        <v>46044.00070472222</v>
      </c>
      <c r="C567" s="16" t="s">
        <v>127</v>
      </c>
      <c r="D567" s="23" t="s">
        <v>128</v>
      </c>
      <c r="E567" s="17">
        <v>4.0</v>
      </c>
    </row>
    <row r="568">
      <c r="A568" s="16" t="s">
        <v>694</v>
      </c>
      <c r="B568" s="30">
        <v>46044.00070472222</v>
      </c>
      <c r="C568" s="16" t="s">
        <v>127</v>
      </c>
      <c r="D568" s="23" t="s">
        <v>128</v>
      </c>
      <c r="E568" s="17">
        <v>4.0</v>
      </c>
    </row>
    <row r="569">
      <c r="A569" s="16" t="s">
        <v>695</v>
      </c>
      <c r="B569" s="30">
        <v>46044.00070472222</v>
      </c>
      <c r="C569" s="16" t="s">
        <v>127</v>
      </c>
      <c r="D569" s="23" t="s">
        <v>128</v>
      </c>
      <c r="E569" s="17">
        <v>4.0</v>
      </c>
    </row>
    <row r="570">
      <c r="A570" s="16" t="s">
        <v>696</v>
      </c>
      <c r="B570" s="30">
        <v>46044.00070472222</v>
      </c>
      <c r="C570" s="16" t="s">
        <v>127</v>
      </c>
      <c r="D570" s="23" t="s">
        <v>128</v>
      </c>
      <c r="E570" s="17">
        <v>4.0</v>
      </c>
    </row>
    <row r="571">
      <c r="A571" s="16" t="s">
        <v>697</v>
      </c>
      <c r="B571" s="30">
        <v>46044.00070472222</v>
      </c>
      <c r="C571" s="16" t="s">
        <v>127</v>
      </c>
      <c r="D571" s="23" t="s">
        <v>128</v>
      </c>
      <c r="E571" s="17">
        <v>4.0</v>
      </c>
    </row>
    <row r="572">
      <c r="A572" s="16" t="s">
        <v>698</v>
      </c>
      <c r="B572" s="30">
        <v>46044.00070472222</v>
      </c>
      <c r="C572" s="16" t="s">
        <v>127</v>
      </c>
      <c r="D572" s="23" t="s">
        <v>128</v>
      </c>
      <c r="E572" s="17">
        <v>4.0</v>
      </c>
    </row>
    <row r="573">
      <c r="A573" s="16" t="s">
        <v>699</v>
      </c>
      <c r="B573" s="30">
        <v>46044.0007047338</v>
      </c>
      <c r="C573" s="16" t="s">
        <v>127</v>
      </c>
      <c r="D573" s="23" t="s">
        <v>128</v>
      </c>
      <c r="E573" s="17">
        <v>4.0</v>
      </c>
    </row>
    <row r="574">
      <c r="A574" s="16" t="s">
        <v>700</v>
      </c>
      <c r="B574" s="30">
        <v>46044.0007047338</v>
      </c>
      <c r="C574" s="16" t="s">
        <v>127</v>
      </c>
      <c r="D574" s="23" t="s">
        <v>128</v>
      </c>
      <c r="E574" s="17">
        <v>4.0</v>
      </c>
    </row>
    <row r="575">
      <c r="A575" s="16" t="s">
        <v>701</v>
      </c>
      <c r="B575" s="30">
        <v>46044.0007047338</v>
      </c>
      <c r="C575" s="16" t="s">
        <v>127</v>
      </c>
      <c r="D575" s="23" t="s">
        <v>128</v>
      </c>
      <c r="E575" s="17">
        <v>4.0</v>
      </c>
    </row>
    <row r="576">
      <c r="A576" s="16" t="s">
        <v>702</v>
      </c>
      <c r="B576" s="30">
        <v>46044.0007047338</v>
      </c>
      <c r="C576" s="16" t="s">
        <v>127</v>
      </c>
      <c r="D576" s="23" t="s">
        <v>128</v>
      </c>
      <c r="E576" s="17">
        <v>4.0</v>
      </c>
    </row>
    <row r="577">
      <c r="A577" s="16" t="s">
        <v>703</v>
      </c>
      <c r="B577" s="30">
        <v>46044.0007047338</v>
      </c>
      <c r="C577" s="16" t="s">
        <v>127</v>
      </c>
      <c r="D577" s="23" t="s">
        <v>128</v>
      </c>
      <c r="E577" s="17">
        <v>4.0</v>
      </c>
    </row>
    <row r="578">
      <c r="A578" s="16" t="s">
        <v>704</v>
      </c>
      <c r="B578" s="30">
        <v>46044.0007047338</v>
      </c>
      <c r="C578" s="16" t="s">
        <v>127</v>
      </c>
      <c r="D578" s="23" t="s">
        <v>128</v>
      </c>
      <c r="E578" s="17">
        <v>4.0</v>
      </c>
    </row>
    <row r="579">
      <c r="A579" s="16" t="s">
        <v>705</v>
      </c>
      <c r="B579" s="30">
        <v>46044.0007047338</v>
      </c>
      <c r="C579" s="16" t="s">
        <v>127</v>
      </c>
      <c r="D579" s="23" t="s">
        <v>128</v>
      </c>
      <c r="E579" s="17">
        <v>4.0</v>
      </c>
    </row>
    <row r="580">
      <c r="A580" s="16" t="s">
        <v>706</v>
      </c>
      <c r="B580" s="30">
        <v>46044.0007047338</v>
      </c>
      <c r="C580" s="16" t="s">
        <v>127</v>
      </c>
      <c r="D580" s="23" t="s">
        <v>128</v>
      </c>
      <c r="E580" s="17">
        <v>4.0</v>
      </c>
    </row>
    <row r="581">
      <c r="A581" s="16" t="s">
        <v>707</v>
      </c>
      <c r="B581" s="30">
        <v>46044.0007047338</v>
      </c>
      <c r="C581" s="16" t="s">
        <v>127</v>
      </c>
      <c r="D581" s="23" t="s">
        <v>128</v>
      </c>
      <c r="E581" s="17">
        <v>4.0</v>
      </c>
    </row>
    <row r="582">
      <c r="A582" s="16" t="s">
        <v>708</v>
      </c>
      <c r="B582" s="30">
        <v>46044.0007047338</v>
      </c>
      <c r="C582" s="16" t="s">
        <v>127</v>
      </c>
      <c r="D582" s="23" t="s">
        <v>128</v>
      </c>
      <c r="E582" s="17">
        <v>4.0</v>
      </c>
    </row>
    <row r="583">
      <c r="A583" s="16" t="s">
        <v>709</v>
      </c>
      <c r="B583" s="30">
        <v>46044.0007047338</v>
      </c>
      <c r="C583" s="16" t="s">
        <v>127</v>
      </c>
      <c r="D583" s="23" t="s">
        <v>128</v>
      </c>
      <c r="E583" s="17">
        <v>4.0</v>
      </c>
    </row>
    <row r="584">
      <c r="A584" s="16" t="s">
        <v>710</v>
      </c>
      <c r="B584" s="30">
        <v>46044.0007047338</v>
      </c>
      <c r="C584" s="16" t="s">
        <v>127</v>
      </c>
      <c r="D584" s="23" t="s">
        <v>128</v>
      </c>
      <c r="E584" s="17">
        <v>4.0</v>
      </c>
    </row>
    <row r="585">
      <c r="A585" s="16" t="s">
        <v>711</v>
      </c>
      <c r="B585" s="30">
        <v>46044.0007047338</v>
      </c>
      <c r="C585" s="16" t="s">
        <v>127</v>
      </c>
      <c r="D585" s="23" t="s">
        <v>128</v>
      </c>
      <c r="E585" s="17">
        <v>4.0</v>
      </c>
    </row>
    <row r="586">
      <c r="A586" s="16" t="s">
        <v>712</v>
      </c>
      <c r="B586" s="30">
        <v>46044.0007047338</v>
      </c>
      <c r="C586" s="16" t="s">
        <v>127</v>
      </c>
      <c r="D586" s="23" t="s">
        <v>128</v>
      </c>
      <c r="E586" s="17">
        <v>4.0</v>
      </c>
    </row>
    <row r="587">
      <c r="A587" s="16" t="s">
        <v>713</v>
      </c>
      <c r="B587" s="30">
        <v>46044.0007047338</v>
      </c>
      <c r="C587" s="16" t="s">
        <v>127</v>
      </c>
      <c r="D587" s="23" t="s">
        <v>128</v>
      </c>
      <c r="E587" s="17">
        <v>4.0</v>
      </c>
    </row>
    <row r="588">
      <c r="A588" s="16" t="s">
        <v>714</v>
      </c>
      <c r="B588" s="30">
        <v>46044.0007047338</v>
      </c>
      <c r="C588" s="16" t="s">
        <v>127</v>
      </c>
      <c r="D588" s="23" t="s">
        <v>128</v>
      </c>
      <c r="E588" s="17">
        <v>4.0</v>
      </c>
    </row>
    <row r="589">
      <c r="A589" s="16" t="s">
        <v>715</v>
      </c>
      <c r="B589" s="30">
        <v>46044.0007047338</v>
      </c>
      <c r="C589" s="16" t="s">
        <v>127</v>
      </c>
      <c r="D589" s="23" t="s">
        <v>128</v>
      </c>
      <c r="E589" s="17">
        <v>4.0</v>
      </c>
    </row>
    <row r="590">
      <c r="A590" s="16" t="s">
        <v>716</v>
      </c>
      <c r="B590" s="30">
        <v>46044.0007047338</v>
      </c>
      <c r="C590" s="16" t="s">
        <v>127</v>
      </c>
      <c r="D590" s="23" t="s">
        <v>128</v>
      </c>
      <c r="E590" s="17">
        <v>4.0</v>
      </c>
    </row>
    <row r="591">
      <c r="A591" s="16" t="s">
        <v>717</v>
      </c>
      <c r="B591" s="30">
        <v>46044.0007047338</v>
      </c>
      <c r="C591" s="16" t="s">
        <v>127</v>
      </c>
      <c r="D591" s="23" t="s">
        <v>128</v>
      </c>
      <c r="E591" s="17">
        <v>4.0</v>
      </c>
    </row>
    <row r="592">
      <c r="A592" s="16" t="s">
        <v>718</v>
      </c>
      <c r="B592" s="30">
        <v>46044.0007047338</v>
      </c>
      <c r="C592" s="16" t="s">
        <v>127</v>
      </c>
      <c r="D592" s="23" t="s">
        <v>128</v>
      </c>
      <c r="E592" s="17">
        <v>4.0</v>
      </c>
    </row>
    <row r="593">
      <c r="A593" s="16" t="s">
        <v>719</v>
      </c>
      <c r="B593" s="30">
        <v>46044.0007047338</v>
      </c>
      <c r="C593" s="16" t="s">
        <v>127</v>
      </c>
      <c r="D593" s="23" t="s">
        <v>128</v>
      </c>
      <c r="E593" s="17">
        <v>4.0</v>
      </c>
    </row>
    <row r="594">
      <c r="A594" s="16" t="s">
        <v>720</v>
      </c>
      <c r="B594" s="30">
        <v>46044.0007047338</v>
      </c>
      <c r="C594" s="16" t="s">
        <v>127</v>
      </c>
      <c r="D594" s="23" t="s">
        <v>128</v>
      </c>
      <c r="E594" s="17">
        <v>4.0</v>
      </c>
    </row>
    <row r="595">
      <c r="A595" s="16" t="s">
        <v>721</v>
      </c>
      <c r="B595" s="30">
        <v>46044.0007047338</v>
      </c>
      <c r="C595" s="16" t="s">
        <v>127</v>
      </c>
      <c r="D595" s="23" t="s">
        <v>128</v>
      </c>
      <c r="E595" s="17">
        <v>4.0</v>
      </c>
    </row>
    <row r="596">
      <c r="A596" s="16" t="s">
        <v>722</v>
      </c>
      <c r="B596" s="30">
        <v>46044.0007047338</v>
      </c>
      <c r="C596" s="16" t="s">
        <v>127</v>
      </c>
      <c r="D596" s="23" t="s">
        <v>128</v>
      </c>
      <c r="E596" s="17">
        <v>4.0</v>
      </c>
    </row>
    <row r="597">
      <c r="A597" s="16" t="s">
        <v>723</v>
      </c>
      <c r="B597" s="30">
        <v>46044.0007047338</v>
      </c>
      <c r="C597" s="16" t="s">
        <v>127</v>
      </c>
      <c r="D597" s="23" t="s">
        <v>128</v>
      </c>
      <c r="E597" s="17">
        <v>4.0</v>
      </c>
    </row>
    <row r="598">
      <c r="A598" s="16" t="s">
        <v>724</v>
      </c>
      <c r="B598" s="30">
        <v>46044.0007047338</v>
      </c>
      <c r="C598" s="16" t="s">
        <v>127</v>
      </c>
      <c r="D598" s="23" t="s">
        <v>128</v>
      </c>
      <c r="E598" s="17">
        <v>4.0</v>
      </c>
    </row>
    <row r="599">
      <c r="A599" s="16" t="s">
        <v>725</v>
      </c>
      <c r="B599" s="30">
        <v>46044.0007047338</v>
      </c>
      <c r="C599" s="16" t="s">
        <v>127</v>
      </c>
      <c r="D599" s="23" t="s">
        <v>128</v>
      </c>
      <c r="E599" s="17">
        <v>4.0</v>
      </c>
    </row>
    <row r="600">
      <c r="A600" s="16" t="s">
        <v>726</v>
      </c>
      <c r="B600" s="30">
        <v>46044.0007047338</v>
      </c>
      <c r="C600" s="16" t="s">
        <v>127</v>
      </c>
      <c r="D600" s="23" t="s">
        <v>128</v>
      </c>
      <c r="E600" s="17">
        <v>4.0</v>
      </c>
    </row>
    <row r="601">
      <c r="A601" s="16" t="s">
        <v>727</v>
      </c>
      <c r="B601" s="30">
        <v>46044.0007047338</v>
      </c>
      <c r="C601" s="16" t="s">
        <v>127</v>
      </c>
      <c r="D601" s="23" t="s">
        <v>128</v>
      </c>
      <c r="E601" s="17">
        <v>4.0</v>
      </c>
    </row>
    <row r="602">
      <c r="A602" s="16" t="s">
        <v>728</v>
      </c>
      <c r="B602" s="30">
        <v>46044.0007047338</v>
      </c>
      <c r="C602" s="16" t="s">
        <v>127</v>
      </c>
      <c r="D602" s="23" t="s">
        <v>128</v>
      </c>
      <c r="E602" s="17">
        <v>4.0</v>
      </c>
    </row>
    <row r="603">
      <c r="A603" s="16" t="s">
        <v>729</v>
      </c>
      <c r="B603" s="30">
        <v>46044.0007047338</v>
      </c>
      <c r="C603" s="16" t="s">
        <v>127</v>
      </c>
      <c r="D603" s="23" t="s">
        <v>128</v>
      </c>
      <c r="E603" s="17">
        <v>4.0</v>
      </c>
    </row>
    <row r="604">
      <c r="A604" s="16" t="s">
        <v>730</v>
      </c>
      <c r="B604" s="30">
        <v>46044.0007047338</v>
      </c>
      <c r="C604" s="16" t="s">
        <v>127</v>
      </c>
      <c r="D604" s="23" t="s">
        <v>128</v>
      </c>
      <c r="E604" s="17">
        <v>4.0</v>
      </c>
    </row>
    <row r="605">
      <c r="A605" s="16" t="s">
        <v>731</v>
      </c>
      <c r="B605" s="30">
        <v>46044.0007047338</v>
      </c>
      <c r="C605" s="16" t="s">
        <v>127</v>
      </c>
      <c r="D605" s="23" t="s">
        <v>128</v>
      </c>
      <c r="E605" s="17">
        <v>4.0</v>
      </c>
    </row>
    <row r="606">
      <c r="A606" s="16" t="s">
        <v>732</v>
      </c>
      <c r="B606" s="30">
        <v>46044.0007047338</v>
      </c>
      <c r="C606" s="16" t="s">
        <v>127</v>
      </c>
      <c r="D606" s="23" t="s">
        <v>128</v>
      </c>
      <c r="E606" s="17">
        <v>4.0</v>
      </c>
    </row>
    <row r="607">
      <c r="A607" s="16" t="s">
        <v>733</v>
      </c>
      <c r="B607" s="30">
        <v>46044.0007047338</v>
      </c>
      <c r="C607" s="16" t="s">
        <v>127</v>
      </c>
      <c r="D607" s="23" t="s">
        <v>128</v>
      </c>
      <c r="E607" s="17">
        <v>4.0</v>
      </c>
    </row>
    <row r="608">
      <c r="A608" s="16" t="s">
        <v>734</v>
      </c>
      <c r="B608" s="30">
        <v>46044.0007047338</v>
      </c>
      <c r="C608" s="16" t="s">
        <v>127</v>
      </c>
      <c r="D608" s="23" t="s">
        <v>128</v>
      </c>
      <c r="E608" s="17">
        <v>4.0</v>
      </c>
    </row>
    <row r="609">
      <c r="A609" s="16" t="s">
        <v>735</v>
      </c>
      <c r="B609" s="30">
        <v>46044.0007047338</v>
      </c>
      <c r="C609" s="16" t="s">
        <v>127</v>
      </c>
      <c r="D609" s="23" t="s">
        <v>128</v>
      </c>
      <c r="E609" s="17">
        <v>4.0</v>
      </c>
    </row>
    <row r="610">
      <c r="A610" s="16" t="s">
        <v>736</v>
      </c>
      <c r="B610" s="30">
        <v>46044.0007047338</v>
      </c>
      <c r="C610" s="16" t="s">
        <v>127</v>
      </c>
      <c r="D610" s="23" t="s">
        <v>128</v>
      </c>
      <c r="E610" s="17">
        <v>4.0</v>
      </c>
    </row>
    <row r="611">
      <c r="A611" s="16" t="s">
        <v>737</v>
      </c>
      <c r="B611" s="30">
        <v>46044.0007047338</v>
      </c>
      <c r="C611" s="16" t="s">
        <v>127</v>
      </c>
      <c r="D611" s="23" t="s">
        <v>128</v>
      </c>
      <c r="E611" s="17">
        <v>4.0</v>
      </c>
    </row>
    <row r="612">
      <c r="A612" s="16" t="s">
        <v>738</v>
      </c>
      <c r="B612" s="30">
        <v>46044.0007047338</v>
      </c>
      <c r="C612" s="16" t="s">
        <v>127</v>
      </c>
      <c r="D612" s="23" t="s">
        <v>128</v>
      </c>
      <c r="E612" s="17">
        <v>4.0</v>
      </c>
    </row>
    <row r="613">
      <c r="A613" s="16" t="s">
        <v>739</v>
      </c>
      <c r="B613" s="30">
        <v>46044.0007047338</v>
      </c>
      <c r="C613" s="16" t="s">
        <v>127</v>
      </c>
      <c r="D613" s="23" t="s">
        <v>128</v>
      </c>
      <c r="E613" s="17">
        <v>4.0</v>
      </c>
    </row>
    <row r="614">
      <c r="A614" s="16" t="s">
        <v>740</v>
      </c>
      <c r="B614" s="30">
        <v>46044.0007047338</v>
      </c>
      <c r="C614" s="16" t="s">
        <v>127</v>
      </c>
      <c r="D614" s="23" t="s">
        <v>128</v>
      </c>
      <c r="E614" s="17">
        <v>4.0</v>
      </c>
    </row>
    <row r="615">
      <c r="A615" s="16" t="s">
        <v>741</v>
      </c>
      <c r="B615" s="30">
        <v>46044.0007047338</v>
      </c>
      <c r="C615" s="16" t="s">
        <v>127</v>
      </c>
      <c r="D615" s="23" t="s">
        <v>128</v>
      </c>
      <c r="E615" s="17">
        <v>4.0</v>
      </c>
    </row>
    <row r="616">
      <c r="A616" s="16" t="s">
        <v>742</v>
      </c>
      <c r="B616" s="30">
        <v>46044.0007047338</v>
      </c>
      <c r="C616" s="16" t="s">
        <v>127</v>
      </c>
      <c r="D616" s="23" t="s">
        <v>128</v>
      </c>
      <c r="E616" s="17">
        <v>4.0</v>
      </c>
    </row>
    <row r="617">
      <c r="A617" s="16" t="s">
        <v>743</v>
      </c>
      <c r="B617" s="30">
        <v>46044.0007047338</v>
      </c>
      <c r="C617" s="16" t="s">
        <v>127</v>
      </c>
      <c r="D617" s="23" t="s">
        <v>128</v>
      </c>
      <c r="E617" s="17">
        <v>4.0</v>
      </c>
    </row>
    <row r="618">
      <c r="A618" s="16" t="s">
        <v>744</v>
      </c>
      <c r="B618" s="30">
        <v>46044.0007047338</v>
      </c>
      <c r="C618" s="16" t="s">
        <v>127</v>
      </c>
      <c r="D618" s="23" t="s">
        <v>128</v>
      </c>
      <c r="E618" s="17">
        <v>4.0</v>
      </c>
    </row>
    <row r="619">
      <c r="A619" s="16" t="s">
        <v>745</v>
      </c>
      <c r="B619" s="30">
        <v>46044.0007047338</v>
      </c>
      <c r="C619" s="16" t="s">
        <v>127</v>
      </c>
      <c r="D619" s="23" t="s">
        <v>128</v>
      </c>
      <c r="E619" s="17">
        <v>4.0</v>
      </c>
    </row>
    <row r="620">
      <c r="A620" s="16" t="s">
        <v>746</v>
      </c>
      <c r="B620" s="30">
        <v>46044.0007047338</v>
      </c>
      <c r="C620" s="16" t="s">
        <v>127</v>
      </c>
      <c r="D620" s="23" t="s">
        <v>128</v>
      </c>
      <c r="E620" s="17">
        <v>4.0</v>
      </c>
    </row>
    <row r="621">
      <c r="A621" s="16" t="s">
        <v>747</v>
      </c>
      <c r="B621" s="30">
        <v>46044.0007047338</v>
      </c>
      <c r="C621" s="16" t="s">
        <v>127</v>
      </c>
      <c r="D621" s="23" t="s">
        <v>128</v>
      </c>
      <c r="E621" s="17">
        <v>4.0</v>
      </c>
    </row>
    <row r="622">
      <c r="A622" s="16" t="s">
        <v>748</v>
      </c>
      <c r="B622" s="30">
        <v>46044.0007047338</v>
      </c>
      <c r="C622" s="16" t="s">
        <v>127</v>
      </c>
      <c r="D622" s="23" t="s">
        <v>128</v>
      </c>
      <c r="E622" s="17">
        <v>4.0</v>
      </c>
    </row>
    <row r="623">
      <c r="A623" s="16" t="s">
        <v>749</v>
      </c>
      <c r="B623" s="30">
        <v>46044.0007047338</v>
      </c>
      <c r="C623" s="16" t="s">
        <v>127</v>
      </c>
      <c r="D623" s="23" t="s">
        <v>128</v>
      </c>
      <c r="E623" s="17">
        <v>4.0</v>
      </c>
    </row>
    <row r="624">
      <c r="A624" s="16" t="s">
        <v>750</v>
      </c>
      <c r="B624" s="30">
        <v>46044.0007047338</v>
      </c>
      <c r="C624" s="16" t="s">
        <v>127</v>
      </c>
      <c r="D624" s="23" t="s">
        <v>128</v>
      </c>
      <c r="E624" s="17">
        <v>4.0</v>
      </c>
    </row>
    <row r="625">
      <c r="A625" s="16" t="s">
        <v>751</v>
      </c>
      <c r="B625" s="30">
        <v>46044.0007047338</v>
      </c>
      <c r="C625" s="16" t="s">
        <v>127</v>
      </c>
      <c r="D625" s="23" t="s">
        <v>128</v>
      </c>
      <c r="E625" s="17">
        <v>4.0</v>
      </c>
    </row>
    <row r="626">
      <c r="A626" s="16" t="s">
        <v>752</v>
      </c>
      <c r="B626" s="30">
        <v>46044.0007047338</v>
      </c>
      <c r="C626" s="16" t="s">
        <v>127</v>
      </c>
      <c r="D626" s="23" t="s">
        <v>128</v>
      </c>
      <c r="E626" s="17">
        <v>4.0</v>
      </c>
    </row>
    <row r="627">
      <c r="A627" s="16" t="s">
        <v>753</v>
      </c>
      <c r="B627" s="30">
        <v>46044.0007047338</v>
      </c>
      <c r="C627" s="16" t="s">
        <v>127</v>
      </c>
      <c r="D627" s="23" t="s">
        <v>128</v>
      </c>
      <c r="E627" s="17">
        <v>4.0</v>
      </c>
    </row>
    <row r="628">
      <c r="A628" s="16" t="s">
        <v>754</v>
      </c>
      <c r="B628" s="30">
        <v>46044.0007047338</v>
      </c>
      <c r="C628" s="16" t="s">
        <v>127</v>
      </c>
      <c r="D628" s="23" t="s">
        <v>128</v>
      </c>
      <c r="E628" s="17">
        <v>4.0</v>
      </c>
    </row>
    <row r="629">
      <c r="A629" s="16" t="s">
        <v>755</v>
      </c>
      <c r="B629" s="30">
        <v>46044.0007047338</v>
      </c>
      <c r="C629" s="16" t="s">
        <v>127</v>
      </c>
      <c r="D629" s="23" t="s">
        <v>128</v>
      </c>
      <c r="E629" s="17">
        <v>4.0</v>
      </c>
    </row>
    <row r="630">
      <c r="A630" s="16" t="s">
        <v>756</v>
      </c>
      <c r="B630" s="30">
        <v>46044.0007047338</v>
      </c>
      <c r="C630" s="16" t="s">
        <v>127</v>
      </c>
      <c r="D630" s="23" t="s">
        <v>128</v>
      </c>
      <c r="E630" s="17">
        <v>4.0</v>
      </c>
    </row>
    <row r="631">
      <c r="A631" s="16" t="s">
        <v>757</v>
      </c>
      <c r="B631" s="30">
        <v>46044.0007047338</v>
      </c>
      <c r="C631" s="16" t="s">
        <v>127</v>
      </c>
      <c r="D631" s="23" t="s">
        <v>128</v>
      </c>
      <c r="E631" s="17">
        <v>4.0</v>
      </c>
    </row>
    <row r="632">
      <c r="A632" s="16" t="s">
        <v>758</v>
      </c>
      <c r="B632" s="30">
        <v>46044.0007047338</v>
      </c>
      <c r="C632" s="16" t="s">
        <v>127</v>
      </c>
      <c r="D632" s="23" t="s">
        <v>128</v>
      </c>
      <c r="E632" s="17">
        <v>4.0</v>
      </c>
    </row>
    <row r="633">
      <c r="A633" s="16" t="s">
        <v>759</v>
      </c>
      <c r="B633" s="30">
        <v>46044.0007047338</v>
      </c>
      <c r="C633" s="16" t="s">
        <v>127</v>
      </c>
      <c r="D633" s="23" t="s">
        <v>128</v>
      </c>
      <c r="E633" s="17">
        <v>4.0</v>
      </c>
    </row>
    <row r="634">
      <c r="A634" s="16" t="s">
        <v>760</v>
      </c>
      <c r="B634" s="30">
        <v>46044.0007047338</v>
      </c>
      <c r="C634" s="16" t="s">
        <v>127</v>
      </c>
      <c r="D634" s="23" t="s">
        <v>128</v>
      </c>
      <c r="E634" s="17">
        <v>4.0</v>
      </c>
    </row>
    <row r="635">
      <c r="A635" s="16" t="s">
        <v>761</v>
      </c>
      <c r="B635" s="30">
        <v>46044.0007047338</v>
      </c>
      <c r="C635" s="16" t="s">
        <v>127</v>
      </c>
      <c r="D635" s="23" t="s">
        <v>128</v>
      </c>
      <c r="E635" s="17">
        <v>4.0</v>
      </c>
    </row>
    <row r="636">
      <c r="A636" s="16" t="s">
        <v>762</v>
      </c>
      <c r="B636" s="30">
        <v>46044.0007047338</v>
      </c>
      <c r="C636" s="16" t="s">
        <v>127</v>
      </c>
      <c r="D636" s="23" t="s">
        <v>128</v>
      </c>
      <c r="E636" s="17">
        <v>4.0</v>
      </c>
    </row>
    <row r="637">
      <c r="A637" s="16" t="s">
        <v>763</v>
      </c>
      <c r="B637" s="30">
        <v>46044.0007047338</v>
      </c>
      <c r="C637" s="16" t="s">
        <v>127</v>
      </c>
      <c r="D637" s="23" t="s">
        <v>128</v>
      </c>
      <c r="E637" s="17">
        <v>4.0</v>
      </c>
    </row>
    <row r="638">
      <c r="A638" s="16" t="s">
        <v>764</v>
      </c>
      <c r="B638" s="30">
        <v>46044.0007047338</v>
      </c>
      <c r="C638" s="16" t="s">
        <v>127</v>
      </c>
      <c r="D638" s="23" t="s">
        <v>128</v>
      </c>
      <c r="E638" s="17">
        <v>4.0</v>
      </c>
    </row>
    <row r="639">
      <c r="A639" s="16" t="s">
        <v>765</v>
      </c>
      <c r="B639" s="30">
        <v>46044.0007047338</v>
      </c>
      <c r="C639" s="16" t="s">
        <v>127</v>
      </c>
      <c r="D639" s="23" t="s">
        <v>128</v>
      </c>
      <c r="E639" s="17">
        <v>4.0</v>
      </c>
    </row>
    <row r="640">
      <c r="A640" s="16" t="s">
        <v>766</v>
      </c>
      <c r="B640" s="30">
        <v>46044.0007047338</v>
      </c>
      <c r="C640" s="16" t="s">
        <v>127</v>
      </c>
      <c r="D640" s="23" t="s">
        <v>128</v>
      </c>
      <c r="E640" s="17">
        <v>4.0</v>
      </c>
    </row>
    <row r="641">
      <c r="A641" s="16" t="s">
        <v>767</v>
      </c>
      <c r="B641" s="30">
        <v>46044.0007047338</v>
      </c>
      <c r="C641" s="16" t="s">
        <v>127</v>
      </c>
      <c r="D641" s="23" t="s">
        <v>128</v>
      </c>
      <c r="E641" s="17">
        <v>4.0</v>
      </c>
    </row>
    <row r="642">
      <c r="A642" s="16" t="s">
        <v>768</v>
      </c>
      <c r="B642" s="30">
        <v>46044.0007047338</v>
      </c>
      <c r="C642" s="16" t="s">
        <v>127</v>
      </c>
      <c r="D642" s="23" t="s">
        <v>128</v>
      </c>
      <c r="E642" s="17">
        <v>4.0</v>
      </c>
    </row>
    <row r="643">
      <c r="A643" s="16" t="s">
        <v>769</v>
      </c>
      <c r="B643" s="30">
        <v>46044.0007047338</v>
      </c>
      <c r="C643" s="16" t="s">
        <v>127</v>
      </c>
      <c r="D643" s="23" t="s">
        <v>128</v>
      </c>
      <c r="E643" s="17">
        <v>4.0</v>
      </c>
    </row>
    <row r="644">
      <c r="A644" s="16" t="s">
        <v>770</v>
      </c>
      <c r="B644" s="30">
        <v>46044.0007047338</v>
      </c>
      <c r="C644" s="16" t="s">
        <v>127</v>
      </c>
      <c r="D644" s="23" t="s">
        <v>128</v>
      </c>
      <c r="E644" s="17">
        <v>4.0</v>
      </c>
    </row>
    <row r="645">
      <c r="A645" s="16" t="s">
        <v>771</v>
      </c>
      <c r="B645" s="30">
        <v>46044.0007047338</v>
      </c>
      <c r="C645" s="16" t="s">
        <v>127</v>
      </c>
      <c r="D645" s="23" t="s">
        <v>128</v>
      </c>
      <c r="E645" s="17">
        <v>4.0</v>
      </c>
    </row>
    <row r="646">
      <c r="A646" s="16" t="s">
        <v>772</v>
      </c>
      <c r="B646" s="30">
        <v>46044.0007047338</v>
      </c>
      <c r="C646" s="16" t="s">
        <v>127</v>
      </c>
      <c r="D646" s="23" t="s">
        <v>128</v>
      </c>
      <c r="E646" s="17">
        <v>4.0</v>
      </c>
    </row>
    <row r="647">
      <c r="A647" s="16" t="s">
        <v>773</v>
      </c>
      <c r="B647" s="30">
        <v>46044.0007047338</v>
      </c>
      <c r="C647" s="16" t="s">
        <v>127</v>
      </c>
      <c r="D647" s="23" t="s">
        <v>128</v>
      </c>
      <c r="E647" s="17">
        <v>4.0</v>
      </c>
    </row>
    <row r="648">
      <c r="A648" s="16" t="s">
        <v>774</v>
      </c>
      <c r="B648" s="30">
        <v>46044.0007047338</v>
      </c>
      <c r="C648" s="16" t="s">
        <v>127</v>
      </c>
      <c r="D648" s="23" t="s">
        <v>128</v>
      </c>
      <c r="E648" s="17">
        <v>4.0</v>
      </c>
    </row>
    <row r="649">
      <c r="A649" s="16" t="s">
        <v>775</v>
      </c>
      <c r="B649" s="30">
        <v>46044.0007047338</v>
      </c>
      <c r="C649" s="16" t="s">
        <v>127</v>
      </c>
      <c r="D649" s="23" t="s">
        <v>128</v>
      </c>
      <c r="E649" s="17">
        <v>4.0</v>
      </c>
    </row>
    <row r="650">
      <c r="A650" s="16" t="s">
        <v>776</v>
      </c>
      <c r="B650" s="30">
        <v>46044.0007047338</v>
      </c>
      <c r="C650" s="16" t="s">
        <v>127</v>
      </c>
      <c r="D650" s="23" t="s">
        <v>128</v>
      </c>
      <c r="E650" s="17">
        <v>4.0</v>
      </c>
    </row>
    <row r="651">
      <c r="A651" s="16" t="s">
        <v>777</v>
      </c>
      <c r="B651" s="30">
        <v>46044.0007047338</v>
      </c>
      <c r="C651" s="16" t="s">
        <v>127</v>
      </c>
      <c r="D651" s="23" t="s">
        <v>128</v>
      </c>
      <c r="E651" s="17">
        <v>4.0</v>
      </c>
    </row>
    <row r="652">
      <c r="A652" s="16" t="s">
        <v>778</v>
      </c>
      <c r="B652" s="30">
        <v>46044.0007047338</v>
      </c>
      <c r="C652" s="16" t="s">
        <v>127</v>
      </c>
      <c r="D652" s="23" t="s">
        <v>128</v>
      </c>
      <c r="E652" s="17">
        <v>4.0</v>
      </c>
    </row>
    <row r="653">
      <c r="A653" s="16" t="s">
        <v>779</v>
      </c>
      <c r="B653" s="30">
        <v>46044.0007047338</v>
      </c>
      <c r="C653" s="16" t="s">
        <v>127</v>
      </c>
      <c r="D653" s="23" t="s">
        <v>128</v>
      </c>
      <c r="E653" s="17">
        <v>4.0</v>
      </c>
    </row>
    <row r="654">
      <c r="A654" s="16" t="s">
        <v>780</v>
      </c>
      <c r="B654" s="30">
        <v>46044.0007047338</v>
      </c>
      <c r="C654" s="16" t="s">
        <v>127</v>
      </c>
      <c r="D654" s="23" t="s">
        <v>128</v>
      </c>
      <c r="E654" s="17">
        <v>4.0</v>
      </c>
    </row>
    <row r="655">
      <c r="A655" s="16" t="s">
        <v>781</v>
      </c>
      <c r="B655" s="30">
        <v>46044.0007047338</v>
      </c>
      <c r="C655" s="16" t="s">
        <v>127</v>
      </c>
      <c r="D655" s="23" t="s">
        <v>128</v>
      </c>
      <c r="E655" s="17">
        <v>4.0</v>
      </c>
    </row>
    <row r="656">
      <c r="A656" s="16" t="s">
        <v>782</v>
      </c>
      <c r="B656" s="30">
        <v>46044.0007047338</v>
      </c>
      <c r="C656" s="16" t="s">
        <v>127</v>
      </c>
      <c r="D656" s="23" t="s">
        <v>128</v>
      </c>
      <c r="E656" s="17">
        <v>4.0</v>
      </c>
    </row>
    <row r="657">
      <c r="A657" s="16" t="s">
        <v>783</v>
      </c>
      <c r="B657" s="30">
        <v>46044.0007047338</v>
      </c>
      <c r="C657" s="16" t="s">
        <v>127</v>
      </c>
      <c r="D657" s="23" t="s">
        <v>128</v>
      </c>
      <c r="E657" s="17">
        <v>4.0</v>
      </c>
    </row>
    <row r="658">
      <c r="A658" s="16" t="s">
        <v>784</v>
      </c>
      <c r="B658" s="30">
        <v>46044.0007047338</v>
      </c>
      <c r="C658" s="16" t="s">
        <v>127</v>
      </c>
      <c r="D658" s="23" t="s">
        <v>128</v>
      </c>
      <c r="E658" s="17">
        <v>4.0</v>
      </c>
    </row>
    <row r="659">
      <c r="A659" s="16" t="s">
        <v>785</v>
      </c>
      <c r="B659" s="30">
        <v>46044.0007047338</v>
      </c>
      <c r="C659" s="16" t="s">
        <v>127</v>
      </c>
      <c r="D659" s="23" t="s">
        <v>128</v>
      </c>
      <c r="E659" s="17">
        <v>4.0</v>
      </c>
    </row>
    <row r="660">
      <c r="A660" s="16" t="s">
        <v>786</v>
      </c>
      <c r="B660" s="30">
        <v>46044.0007047338</v>
      </c>
      <c r="C660" s="16" t="s">
        <v>127</v>
      </c>
      <c r="D660" s="23" t="s">
        <v>128</v>
      </c>
      <c r="E660" s="17">
        <v>4.0</v>
      </c>
    </row>
    <row r="661">
      <c r="A661" s="16" t="s">
        <v>787</v>
      </c>
      <c r="B661" s="30">
        <v>46044.0007047338</v>
      </c>
      <c r="C661" s="16" t="s">
        <v>127</v>
      </c>
      <c r="D661" s="23" t="s">
        <v>128</v>
      </c>
      <c r="E661" s="17">
        <v>4.0</v>
      </c>
    </row>
    <row r="662">
      <c r="A662" s="16" t="s">
        <v>788</v>
      </c>
      <c r="B662" s="30">
        <v>46044.0007047338</v>
      </c>
      <c r="C662" s="16" t="s">
        <v>127</v>
      </c>
      <c r="D662" s="23" t="s">
        <v>128</v>
      </c>
      <c r="E662" s="17">
        <v>4.0</v>
      </c>
    </row>
    <row r="663">
      <c r="A663" s="16" t="s">
        <v>789</v>
      </c>
      <c r="B663" s="30">
        <v>46044.0007047338</v>
      </c>
      <c r="C663" s="16" t="s">
        <v>127</v>
      </c>
      <c r="D663" s="23" t="s">
        <v>128</v>
      </c>
      <c r="E663" s="17">
        <v>4.0</v>
      </c>
    </row>
    <row r="664">
      <c r="A664" s="16" t="s">
        <v>790</v>
      </c>
      <c r="B664" s="30">
        <v>46044.0007047338</v>
      </c>
      <c r="C664" s="16" t="s">
        <v>127</v>
      </c>
      <c r="D664" s="23" t="s">
        <v>128</v>
      </c>
      <c r="E664" s="17">
        <v>4.0</v>
      </c>
    </row>
    <row r="665">
      <c r="A665" s="16" t="s">
        <v>791</v>
      </c>
      <c r="B665" s="30">
        <v>46044.0007047338</v>
      </c>
      <c r="C665" s="16" t="s">
        <v>127</v>
      </c>
      <c r="D665" s="23" t="s">
        <v>128</v>
      </c>
      <c r="E665" s="17">
        <v>4.0</v>
      </c>
    </row>
    <row r="666">
      <c r="A666" s="16" t="s">
        <v>792</v>
      </c>
      <c r="B666" s="30">
        <v>46044.0007047338</v>
      </c>
      <c r="C666" s="16" t="s">
        <v>127</v>
      </c>
      <c r="D666" s="23" t="s">
        <v>128</v>
      </c>
      <c r="E666" s="17">
        <v>4.0</v>
      </c>
    </row>
    <row r="667">
      <c r="A667" s="16" t="s">
        <v>793</v>
      </c>
      <c r="B667" s="30">
        <v>46044.0007047338</v>
      </c>
      <c r="C667" s="16" t="s">
        <v>127</v>
      </c>
      <c r="D667" s="23" t="s">
        <v>128</v>
      </c>
      <c r="E667" s="17">
        <v>4.0</v>
      </c>
    </row>
    <row r="668">
      <c r="A668" s="16" t="s">
        <v>794</v>
      </c>
      <c r="B668" s="30">
        <v>46044.0007047338</v>
      </c>
      <c r="C668" s="16" t="s">
        <v>127</v>
      </c>
      <c r="D668" s="23" t="s">
        <v>128</v>
      </c>
      <c r="E668" s="17">
        <v>4.0</v>
      </c>
    </row>
    <row r="669">
      <c r="A669" s="16" t="s">
        <v>795</v>
      </c>
      <c r="B669" s="30">
        <v>46044.0007047338</v>
      </c>
      <c r="C669" s="16" t="s">
        <v>127</v>
      </c>
      <c r="D669" s="23" t="s">
        <v>128</v>
      </c>
      <c r="E669" s="17">
        <v>4.0</v>
      </c>
    </row>
    <row r="670">
      <c r="A670" s="16" t="s">
        <v>796</v>
      </c>
      <c r="B670" s="30">
        <v>46044.0007047338</v>
      </c>
      <c r="C670" s="16" t="s">
        <v>127</v>
      </c>
      <c r="D670" s="23" t="s">
        <v>128</v>
      </c>
      <c r="E670" s="17">
        <v>4.0</v>
      </c>
    </row>
    <row r="671">
      <c r="A671" s="16" t="s">
        <v>797</v>
      </c>
      <c r="B671" s="30">
        <v>46044.0007047338</v>
      </c>
      <c r="C671" s="16" t="s">
        <v>127</v>
      </c>
      <c r="D671" s="23" t="s">
        <v>128</v>
      </c>
      <c r="E671" s="17">
        <v>4.0</v>
      </c>
    </row>
    <row r="672">
      <c r="A672" s="16" t="s">
        <v>798</v>
      </c>
      <c r="B672" s="30">
        <v>46044.0007047338</v>
      </c>
      <c r="C672" s="16" t="s">
        <v>127</v>
      </c>
      <c r="D672" s="23" t="s">
        <v>128</v>
      </c>
      <c r="E672" s="17">
        <v>4.0</v>
      </c>
    </row>
    <row r="673">
      <c r="A673" s="16" t="s">
        <v>799</v>
      </c>
      <c r="B673" s="30">
        <v>46044.0007047338</v>
      </c>
      <c r="C673" s="16" t="s">
        <v>127</v>
      </c>
      <c r="D673" s="23" t="s">
        <v>128</v>
      </c>
      <c r="E673" s="17">
        <v>4.0</v>
      </c>
    </row>
    <row r="674">
      <c r="A674" s="16" t="s">
        <v>800</v>
      </c>
      <c r="B674" s="30">
        <v>46044.0007047338</v>
      </c>
      <c r="C674" s="16" t="s">
        <v>127</v>
      </c>
      <c r="D674" s="23" t="s">
        <v>128</v>
      </c>
      <c r="E674" s="17">
        <v>4.0</v>
      </c>
    </row>
    <row r="675">
      <c r="A675" s="16" t="s">
        <v>801</v>
      </c>
      <c r="B675" s="30">
        <v>46044.0007047338</v>
      </c>
      <c r="C675" s="16" t="s">
        <v>127</v>
      </c>
      <c r="D675" s="23" t="s">
        <v>128</v>
      </c>
      <c r="E675" s="17">
        <v>4.0</v>
      </c>
    </row>
    <row r="676">
      <c r="A676" s="16" t="s">
        <v>802</v>
      </c>
      <c r="B676" s="30">
        <v>46044.0007047338</v>
      </c>
      <c r="C676" s="16" t="s">
        <v>127</v>
      </c>
      <c r="D676" s="23" t="s">
        <v>128</v>
      </c>
      <c r="E676" s="17">
        <v>4.0</v>
      </c>
    </row>
    <row r="677">
      <c r="A677" s="16" t="s">
        <v>803</v>
      </c>
      <c r="B677" s="30">
        <v>46044.0007047338</v>
      </c>
      <c r="C677" s="16" t="s">
        <v>127</v>
      </c>
      <c r="D677" s="23" t="s">
        <v>128</v>
      </c>
      <c r="E677" s="17">
        <v>4.0</v>
      </c>
    </row>
    <row r="678">
      <c r="A678" s="16" t="s">
        <v>804</v>
      </c>
      <c r="B678" s="30">
        <v>46044.0007047338</v>
      </c>
      <c r="C678" s="16" t="s">
        <v>127</v>
      </c>
      <c r="D678" s="23" t="s">
        <v>128</v>
      </c>
      <c r="E678" s="17">
        <v>4.0</v>
      </c>
    </row>
    <row r="679">
      <c r="A679" s="16" t="s">
        <v>805</v>
      </c>
      <c r="B679" s="30">
        <v>46044.0007047338</v>
      </c>
      <c r="C679" s="16" t="s">
        <v>127</v>
      </c>
      <c r="D679" s="23" t="s">
        <v>128</v>
      </c>
      <c r="E679" s="17">
        <v>4.0</v>
      </c>
    </row>
    <row r="680">
      <c r="A680" s="16" t="s">
        <v>806</v>
      </c>
      <c r="B680" s="30">
        <v>46044.0007047338</v>
      </c>
      <c r="C680" s="16" t="s">
        <v>127</v>
      </c>
      <c r="D680" s="23" t="s">
        <v>128</v>
      </c>
      <c r="E680" s="17">
        <v>4.0</v>
      </c>
    </row>
    <row r="681">
      <c r="A681" s="16" t="s">
        <v>807</v>
      </c>
      <c r="B681" s="30">
        <v>46044.0007047338</v>
      </c>
      <c r="C681" s="16" t="s">
        <v>127</v>
      </c>
      <c r="D681" s="23" t="s">
        <v>128</v>
      </c>
      <c r="E681" s="17">
        <v>4.0</v>
      </c>
    </row>
    <row r="682">
      <c r="A682" s="16" t="s">
        <v>808</v>
      </c>
      <c r="B682" s="30">
        <v>46044.0007047338</v>
      </c>
      <c r="C682" s="16" t="s">
        <v>127</v>
      </c>
      <c r="D682" s="23" t="s">
        <v>128</v>
      </c>
      <c r="E682" s="17">
        <v>4.0</v>
      </c>
    </row>
    <row r="683">
      <c r="A683" s="16" t="s">
        <v>809</v>
      </c>
      <c r="B683" s="30">
        <v>46044.0007047338</v>
      </c>
      <c r="C683" s="16" t="s">
        <v>127</v>
      </c>
      <c r="D683" s="23" t="s">
        <v>128</v>
      </c>
      <c r="E683" s="17">
        <v>4.0</v>
      </c>
    </row>
    <row r="684">
      <c r="A684" s="16" t="s">
        <v>810</v>
      </c>
      <c r="B684" s="30">
        <v>46044.0007047338</v>
      </c>
      <c r="C684" s="16" t="s">
        <v>127</v>
      </c>
      <c r="D684" s="23" t="s">
        <v>128</v>
      </c>
      <c r="E684" s="17">
        <v>4.0</v>
      </c>
    </row>
    <row r="685">
      <c r="A685" s="16" t="s">
        <v>811</v>
      </c>
      <c r="B685" s="30">
        <v>46044.0007047338</v>
      </c>
      <c r="C685" s="16" t="s">
        <v>127</v>
      </c>
      <c r="D685" s="23" t="s">
        <v>128</v>
      </c>
      <c r="E685" s="17">
        <v>4.0</v>
      </c>
    </row>
    <row r="686">
      <c r="A686" s="16" t="s">
        <v>812</v>
      </c>
      <c r="B686" s="30">
        <v>46044.0007047338</v>
      </c>
      <c r="C686" s="16" t="s">
        <v>127</v>
      </c>
      <c r="D686" s="23" t="s">
        <v>128</v>
      </c>
      <c r="E686" s="17">
        <v>4.0</v>
      </c>
    </row>
    <row r="687">
      <c r="A687" s="16" t="s">
        <v>813</v>
      </c>
      <c r="B687" s="30">
        <v>46044.0007047338</v>
      </c>
      <c r="C687" s="16" t="s">
        <v>127</v>
      </c>
      <c r="D687" s="23" t="s">
        <v>128</v>
      </c>
      <c r="E687" s="17">
        <v>4.0</v>
      </c>
    </row>
    <row r="688">
      <c r="A688" s="16" t="s">
        <v>814</v>
      </c>
      <c r="B688" s="30">
        <v>46044.0007047338</v>
      </c>
      <c r="C688" s="16" t="s">
        <v>127</v>
      </c>
      <c r="D688" s="23" t="s">
        <v>128</v>
      </c>
      <c r="E688" s="17">
        <v>4.0</v>
      </c>
    </row>
    <row r="689">
      <c r="A689" s="16" t="s">
        <v>815</v>
      </c>
      <c r="B689" s="30">
        <v>46044.0007047338</v>
      </c>
      <c r="C689" s="16" t="s">
        <v>127</v>
      </c>
      <c r="D689" s="23" t="s">
        <v>128</v>
      </c>
      <c r="E689" s="17">
        <v>4.0</v>
      </c>
    </row>
    <row r="690">
      <c r="A690" s="16" t="s">
        <v>816</v>
      </c>
      <c r="B690" s="30">
        <v>46044.0007047338</v>
      </c>
      <c r="C690" s="16" t="s">
        <v>127</v>
      </c>
      <c r="D690" s="23" t="s">
        <v>128</v>
      </c>
      <c r="E690" s="17">
        <v>4.0</v>
      </c>
    </row>
    <row r="691">
      <c r="A691" s="16" t="s">
        <v>817</v>
      </c>
      <c r="B691" s="30">
        <v>46044.0007047338</v>
      </c>
      <c r="C691" s="16" t="s">
        <v>127</v>
      </c>
      <c r="D691" s="23" t="s">
        <v>128</v>
      </c>
      <c r="E691" s="17">
        <v>4.0</v>
      </c>
    </row>
    <row r="692">
      <c r="A692" s="16" t="s">
        <v>818</v>
      </c>
      <c r="B692" s="30">
        <v>46044.0007047338</v>
      </c>
      <c r="C692" s="16" t="s">
        <v>127</v>
      </c>
      <c r="D692" s="23" t="s">
        <v>128</v>
      </c>
      <c r="E692" s="17">
        <v>4.0</v>
      </c>
    </row>
    <row r="693">
      <c r="A693" s="16" t="s">
        <v>819</v>
      </c>
      <c r="B693" s="30">
        <v>46044.0007047338</v>
      </c>
      <c r="C693" s="16" t="s">
        <v>127</v>
      </c>
      <c r="D693" s="23" t="s">
        <v>128</v>
      </c>
      <c r="E693" s="17">
        <v>4.0</v>
      </c>
    </row>
    <row r="694">
      <c r="A694" s="16" t="s">
        <v>820</v>
      </c>
      <c r="B694" s="30">
        <v>46044.0007047338</v>
      </c>
      <c r="C694" s="16" t="s">
        <v>127</v>
      </c>
      <c r="D694" s="23" t="s">
        <v>128</v>
      </c>
      <c r="E694" s="17">
        <v>4.0</v>
      </c>
    </row>
    <row r="695">
      <c r="A695" s="16" t="s">
        <v>821</v>
      </c>
      <c r="B695" s="30">
        <v>46044.0007047338</v>
      </c>
      <c r="C695" s="16" t="s">
        <v>127</v>
      </c>
      <c r="D695" s="23" t="s">
        <v>128</v>
      </c>
      <c r="E695" s="17">
        <v>4.0</v>
      </c>
    </row>
    <row r="696">
      <c r="A696" s="16" t="s">
        <v>822</v>
      </c>
      <c r="B696" s="30">
        <v>46044.0007047338</v>
      </c>
      <c r="C696" s="16" t="s">
        <v>127</v>
      </c>
      <c r="D696" s="23" t="s">
        <v>128</v>
      </c>
      <c r="E696" s="17">
        <v>4.0</v>
      </c>
    </row>
    <row r="697">
      <c r="A697" s="16" t="s">
        <v>823</v>
      </c>
      <c r="B697" s="30">
        <v>46044.0007047338</v>
      </c>
      <c r="C697" s="16" t="s">
        <v>127</v>
      </c>
      <c r="D697" s="23" t="s">
        <v>128</v>
      </c>
      <c r="E697" s="17">
        <v>4.0</v>
      </c>
    </row>
    <row r="698">
      <c r="A698" s="16" t="s">
        <v>824</v>
      </c>
      <c r="B698" s="30">
        <v>46044.0007047338</v>
      </c>
      <c r="C698" s="16" t="s">
        <v>127</v>
      </c>
      <c r="D698" s="23" t="s">
        <v>128</v>
      </c>
      <c r="E698" s="17">
        <v>4.0</v>
      </c>
    </row>
    <row r="699">
      <c r="A699" s="16" t="s">
        <v>825</v>
      </c>
      <c r="B699" s="30">
        <v>46044.0007047338</v>
      </c>
      <c r="C699" s="16" t="s">
        <v>127</v>
      </c>
      <c r="D699" s="23" t="s">
        <v>128</v>
      </c>
      <c r="E699" s="17">
        <v>4.0</v>
      </c>
    </row>
    <row r="700">
      <c r="A700" s="16" t="s">
        <v>826</v>
      </c>
      <c r="B700" s="30">
        <v>46044.0007047338</v>
      </c>
      <c r="C700" s="16" t="s">
        <v>127</v>
      </c>
      <c r="D700" s="23" t="s">
        <v>128</v>
      </c>
      <c r="E700" s="17">
        <v>4.0</v>
      </c>
    </row>
    <row r="701">
      <c r="A701" s="16" t="s">
        <v>827</v>
      </c>
      <c r="B701" s="30">
        <v>46044.0007047338</v>
      </c>
      <c r="C701" s="16" t="s">
        <v>127</v>
      </c>
      <c r="D701" s="23" t="s">
        <v>128</v>
      </c>
      <c r="E701" s="17">
        <v>4.0</v>
      </c>
    </row>
    <row r="702">
      <c r="A702" s="16" t="s">
        <v>828</v>
      </c>
      <c r="B702" s="30">
        <v>46044.0007047338</v>
      </c>
      <c r="C702" s="16" t="s">
        <v>127</v>
      </c>
      <c r="D702" s="23" t="s">
        <v>128</v>
      </c>
      <c r="E702" s="17">
        <v>4.0</v>
      </c>
    </row>
    <row r="703">
      <c r="A703" s="16" t="s">
        <v>829</v>
      </c>
      <c r="B703" s="30">
        <v>46044.0007047338</v>
      </c>
      <c r="C703" s="16" t="s">
        <v>127</v>
      </c>
      <c r="D703" s="23" t="s">
        <v>128</v>
      </c>
      <c r="E703" s="17">
        <v>4.0</v>
      </c>
    </row>
    <row r="704">
      <c r="A704" s="16" t="s">
        <v>830</v>
      </c>
      <c r="B704" s="30">
        <v>46044.0007047338</v>
      </c>
      <c r="C704" s="16" t="s">
        <v>127</v>
      </c>
      <c r="D704" s="23" t="s">
        <v>128</v>
      </c>
      <c r="E704" s="17">
        <v>4.0</v>
      </c>
    </row>
    <row r="705">
      <c r="A705" s="16" t="s">
        <v>831</v>
      </c>
      <c r="B705" s="30">
        <v>46044.0007047338</v>
      </c>
      <c r="C705" s="16" t="s">
        <v>127</v>
      </c>
      <c r="D705" s="23" t="s">
        <v>128</v>
      </c>
      <c r="E705" s="17">
        <v>4.0</v>
      </c>
    </row>
    <row r="706">
      <c r="A706" s="16" t="s">
        <v>832</v>
      </c>
      <c r="B706" s="30">
        <v>46044.0007047338</v>
      </c>
      <c r="C706" s="16" t="s">
        <v>127</v>
      </c>
      <c r="D706" s="23" t="s">
        <v>128</v>
      </c>
      <c r="E706" s="17">
        <v>4.0</v>
      </c>
    </row>
    <row r="707">
      <c r="A707" s="16" t="s">
        <v>833</v>
      </c>
      <c r="B707" s="30">
        <v>46044.0007047338</v>
      </c>
      <c r="C707" s="16" t="s">
        <v>127</v>
      </c>
      <c r="D707" s="23" t="s">
        <v>128</v>
      </c>
      <c r="E707" s="17">
        <v>4.0</v>
      </c>
    </row>
    <row r="708">
      <c r="A708" s="16" t="s">
        <v>834</v>
      </c>
      <c r="B708" s="30">
        <v>46044.0007047338</v>
      </c>
      <c r="C708" s="16" t="s">
        <v>127</v>
      </c>
      <c r="D708" s="23" t="s">
        <v>128</v>
      </c>
      <c r="E708" s="17">
        <v>4.0</v>
      </c>
    </row>
    <row r="709">
      <c r="A709" s="16" t="s">
        <v>835</v>
      </c>
      <c r="B709" s="30">
        <v>46044.0007047338</v>
      </c>
      <c r="C709" s="16" t="s">
        <v>127</v>
      </c>
      <c r="D709" s="23" t="s">
        <v>128</v>
      </c>
      <c r="E709" s="17">
        <v>4.0</v>
      </c>
    </row>
    <row r="710">
      <c r="A710" s="16" t="s">
        <v>836</v>
      </c>
      <c r="B710" s="30">
        <v>46044.0007047338</v>
      </c>
      <c r="C710" s="16" t="s">
        <v>127</v>
      </c>
      <c r="D710" s="23" t="s">
        <v>128</v>
      </c>
      <c r="E710" s="17">
        <v>4.0</v>
      </c>
    </row>
    <row r="711">
      <c r="A711" s="16" t="s">
        <v>837</v>
      </c>
      <c r="B711" s="30">
        <v>46044.0007047338</v>
      </c>
      <c r="C711" s="16" t="s">
        <v>127</v>
      </c>
      <c r="D711" s="23" t="s">
        <v>128</v>
      </c>
      <c r="E711" s="17">
        <v>4.0</v>
      </c>
    </row>
    <row r="712">
      <c r="A712" s="16" t="s">
        <v>838</v>
      </c>
      <c r="B712" s="30">
        <v>46044.0007047338</v>
      </c>
      <c r="C712" s="16" t="s">
        <v>127</v>
      </c>
      <c r="D712" s="23" t="s">
        <v>128</v>
      </c>
      <c r="E712" s="17">
        <v>4.0</v>
      </c>
    </row>
    <row r="713">
      <c r="A713" s="16" t="s">
        <v>839</v>
      </c>
      <c r="B713" s="30">
        <v>46044.0007047338</v>
      </c>
      <c r="C713" s="16" t="s">
        <v>127</v>
      </c>
      <c r="D713" s="23" t="s">
        <v>128</v>
      </c>
      <c r="E713" s="17">
        <v>4.0</v>
      </c>
    </row>
    <row r="714">
      <c r="A714" s="16" t="s">
        <v>840</v>
      </c>
      <c r="B714" s="30">
        <v>46044.0007047338</v>
      </c>
      <c r="C714" s="16" t="s">
        <v>127</v>
      </c>
      <c r="D714" s="23" t="s">
        <v>128</v>
      </c>
      <c r="E714" s="17">
        <v>4.0</v>
      </c>
    </row>
    <row r="715">
      <c r="A715" s="16" t="s">
        <v>841</v>
      </c>
      <c r="B715" s="30">
        <v>46044.0007047338</v>
      </c>
      <c r="C715" s="16" t="s">
        <v>127</v>
      </c>
      <c r="D715" s="23" t="s">
        <v>128</v>
      </c>
      <c r="E715" s="17">
        <v>4.0</v>
      </c>
    </row>
    <row r="716">
      <c r="A716" s="16" t="s">
        <v>842</v>
      </c>
      <c r="B716" s="30">
        <v>46044.0007047338</v>
      </c>
      <c r="C716" s="16" t="s">
        <v>127</v>
      </c>
      <c r="D716" s="23" t="s">
        <v>128</v>
      </c>
      <c r="E716" s="17">
        <v>4.0</v>
      </c>
    </row>
    <row r="717">
      <c r="A717" s="16" t="s">
        <v>843</v>
      </c>
      <c r="B717" s="30">
        <v>46044.0007047338</v>
      </c>
      <c r="C717" s="16" t="s">
        <v>127</v>
      </c>
      <c r="D717" s="23" t="s">
        <v>128</v>
      </c>
      <c r="E717" s="17">
        <v>4.0</v>
      </c>
    </row>
    <row r="718">
      <c r="A718" s="16" t="s">
        <v>844</v>
      </c>
      <c r="B718" s="30">
        <v>46044.0007047338</v>
      </c>
      <c r="C718" s="16" t="s">
        <v>127</v>
      </c>
      <c r="D718" s="23" t="s">
        <v>128</v>
      </c>
      <c r="E718" s="17">
        <v>4.0</v>
      </c>
    </row>
    <row r="719">
      <c r="A719" s="16" t="s">
        <v>845</v>
      </c>
      <c r="B719" s="30">
        <v>46044.0007047338</v>
      </c>
      <c r="C719" s="16" t="s">
        <v>127</v>
      </c>
      <c r="D719" s="23" t="s">
        <v>128</v>
      </c>
      <c r="E719" s="17">
        <v>4.0</v>
      </c>
    </row>
    <row r="720">
      <c r="A720" s="16" t="s">
        <v>846</v>
      </c>
      <c r="B720" s="30">
        <v>46044.0007047338</v>
      </c>
      <c r="C720" s="16" t="s">
        <v>127</v>
      </c>
      <c r="D720" s="23" t="s">
        <v>128</v>
      </c>
      <c r="E720" s="17">
        <v>4.0</v>
      </c>
    </row>
    <row r="721">
      <c r="A721" s="16" t="s">
        <v>847</v>
      </c>
      <c r="B721" s="30">
        <v>46044.0007047338</v>
      </c>
      <c r="C721" s="16" t="s">
        <v>127</v>
      </c>
      <c r="D721" s="23" t="s">
        <v>128</v>
      </c>
      <c r="E721" s="17">
        <v>4.0</v>
      </c>
    </row>
    <row r="722">
      <c r="A722" s="16" t="s">
        <v>848</v>
      </c>
      <c r="B722" s="30">
        <v>46044.0007047338</v>
      </c>
      <c r="C722" s="16" t="s">
        <v>127</v>
      </c>
      <c r="D722" s="23" t="s">
        <v>128</v>
      </c>
      <c r="E722" s="17">
        <v>4.0</v>
      </c>
    </row>
    <row r="723">
      <c r="A723" s="16" t="s">
        <v>849</v>
      </c>
      <c r="B723" s="30">
        <v>46044.0007047338</v>
      </c>
      <c r="C723" s="16" t="s">
        <v>127</v>
      </c>
      <c r="D723" s="23" t="s">
        <v>128</v>
      </c>
      <c r="E723" s="17">
        <v>4.0</v>
      </c>
    </row>
    <row r="724">
      <c r="A724" s="16" t="s">
        <v>850</v>
      </c>
      <c r="B724" s="30">
        <v>46044.0007047338</v>
      </c>
      <c r="C724" s="16" t="s">
        <v>127</v>
      </c>
      <c r="D724" s="23" t="s">
        <v>128</v>
      </c>
      <c r="E724" s="17">
        <v>4.0</v>
      </c>
    </row>
    <row r="725">
      <c r="A725" s="16" t="s">
        <v>851</v>
      </c>
      <c r="B725" s="30">
        <v>46044.0007047338</v>
      </c>
      <c r="C725" s="16" t="s">
        <v>127</v>
      </c>
      <c r="D725" s="23" t="s">
        <v>128</v>
      </c>
      <c r="E725" s="17">
        <v>4.0</v>
      </c>
    </row>
    <row r="726">
      <c r="A726" s="16" t="s">
        <v>852</v>
      </c>
      <c r="B726" s="30">
        <v>46044.0007047338</v>
      </c>
      <c r="C726" s="16" t="s">
        <v>127</v>
      </c>
      <c r="D726" s="23" t="s">
        <v>128</v>
      </c>
      <c r="E726" s="17">
        <v>4.0</v>
      </c>
    </row>
    <row r="727">
      <c r="A727" s="16" t="s">
        <v>853</v>
      </c>
      <c r="B727" s="30">
        <v>46044.0007047338</v>
      </c>
      <c r="C727" s="16" t="s">
        <v>127</v>
      </c>
      <c r="D727" s="23" t="s">
        <v>128</v>
      </c>
      <c r="E727" s="17">
        <v>4.0</v>
      </c>
    </row>
    <row r="728">
      <c r="A728" s="16" t="s">
        <v>854</v>
      </c>
      <c r="B728" s="30">
        <v>46044.0007047338</v>
      </c>
      <c r="C728" s="16" t="s">
        <v>127</v>
      </c>
      <c r="D728" s="23" t="s">
        <v>128</v>
      </c>
      <c r="E728" s="17">
        <v>4.0</v>
      </c>
    </row>
    <row r="729">
      <c r="A729" s="16" t="s">
        <v>855</v>
      </c>
      <c r="B729" s="30">
        <v>46044.0007047338</v>
      </c>
      <c r="C729" s="16" t="s">
        <v>127</v>
      </c>
      <c r="D729" s="23" t="s">
        <v>128</v>
      </c>
      <c r="E729" s="17">
        <v>4.0</v>
      </c>
    </row>
    <row r="730">
      <c r="A730" s="16" t="s">
        <v>856</v>
      </c>
      <c r="B730" s="30">
        <v>46044.0007047338</v>
      </c>
      <c r="C730" s="16" t="s">
        <v>127</v>
      </c>
      <c r="D730" s="23" t="s">
        <v>128</v>
      </c>
      <c r="E730" s="17">
        <v>4.0</v>
      </c>
    </row>
    <row r="731">
      <c r="A731" s="16" t="s">
        <v>857</v>
      </c>
      <c r="B731" s="30">
        <v>46044.0007047338</v>
      </c>
      <c r="C731" s="16" t="s">
        <v>127</v>
      </c>
      <c r="D731" s="23" t="s">
        <v>128</v>
      </c>
      <c r="E731" s="17">
        <v>4.0</v>
      </c>
    </row>
    <row r="732">
      <c r="A732" s="16" t="s">
        <v>858</v>
      </c>
      <c r="B732" s="30">
        <v>46044.0007047338</v>
      </c>
      <c r="C732" s="16" t="s">
        <v>127</v>
      </c>
      <c r="D732" s="23" t="s">
        <v>128</v>
      </c>
      <c r="E732" s="17">
        <v>4.0</v>
      </c>
    </row>
    <row r="733">
      <c r="A733" s="16" t="s">
        <v>859</v>
      </c>
      <c r="B733" s="30">
        <v>46044.0007047338</v>
      </c>
      <c r="C733" s="16" t="s">
        <v>127</v>
      </c>
      <c r="D733" s="23" t="s">
        <v>128</v>
      </c>
      <c r="E733" s="17">
        <v>4.0</v>
      </c>
    </row>
    <row r="734">
      <c r="A734" s="16" t="s">
        <v>860</v>
      </c>
      <c r="B734" s="30">
        <v>46044.0007047338</v>
      </c>
      <c r="C734" s="16" t="s">
        <v>127</v>
      </c>
      <c r="D734" s="23" t="s">
        <v>128</v>
      </c>
      <c r="E734" s="17">
        <v>4.0</v>
      </c>
    </row>
    <row r="735">
      <c r="A735" s="16" t="s">
        <v>861</v>
      </c>
      <c r="B735" s="30">
        <v>46044.0007047338</v>
      </c>
      <c r="C735" s="16" t="s">
        <v>127</v>
      </c>
      <c r="D735" s="23" t="s">
        <v>128</v>
      </c>
      <c r="E735" s="17">
        <v>4.0</v>
      </c>
    </row>
    <row r="736">
      <c r="A736" s="16" t="s">
        <v>862</v>
      </c>
      <c r="B736" s="30">
        <v>46044.0007047338</v>
      </c>
      <c r="C736" s="16" t="s">
        <v>127</v>
      </c>
      <c r="D736" s="23" t="s">
        <v>128</v>
      </c>
      <c r="E736" s="17">
        <v>4.0</v>
      </c>
    </row>
    <row r="737">
      <c r="A737" s="16" t="s">
        <v>863</v>
      </c>
      <c r="B737" s="30">
        <v>46044.0007047338</v>
      </c>
      <c r="C737" s="16" t="s">
        <v>127</v>
      </c>
      <c r="D737" s="23" t="s">
        <v>128</v>
      </c>
      <c r="E737" s="17">
        <v>4.0</v>
      </c>
    </row>
    <row r="738">
      <c r="A738" s="16" t="s">
        <v>864</v>
      </c>
      <c r="B738" s="30">
        <v>46044.0007047338</v>
      </c>
      <c r="C738" s="16" t="s">
        <v>127</v>
      </c>
      <c r="D738" s="23" t="s">
        <v>128</v>
      </c>
      <c r="E738" s="17">
        <v>4.0</v>
      </c>
    </row>
    <row r="739">
      <c r="A739" s="16" t="s">
        <v>865</v>
      </c>
      <c r="B739" s="30">
        <v>46044.0007047338</v>
      </c>
      <c r="C739" s="16" t="s">
        <v>127</v>
      </c>
      <c r="D739" s="23" t="s">
        <v>128</v>
      </c>
      <c r="E739" s="17">
        <v>4.0</v>
      </c>
    </row>
    <row r="740">
      <c r="A740" s="16" t="s">
        <v>866</v>
      </c>
      <c r="B740" s="30">
        <v>46044.0007047338</v>
      </c>
      <c r="C740" s="16" t="s">
        <v>127</v>
      </c>
      <c r="D740" s="23" t="s">
        <v>128</v>
      </c>
      <c r="E740" s="17">
        <v>4.0</v>
      </c>
    </row>
    <row r="741">
      <c r="A741" s="16" t="s">
        <v>867</v>
      </c>
      <c r="B741" s="30">
        <v>46044.0007047338</v>
      </c>
      <c r="C741" s="16" t="s">
        <v>127</v>
      </c>
      <c r="D741" s="23" t="s">
        <v>128</v>
      </c>
      <c r="E741" s="17">
        <v>4.0</v>
      </c>
    </row>
    <row r="742">
      <c r="A742" s="16" t="s">
        <v>868</v>
      </c>
      <c r="B742" s="30">
        <v>46044.0007047338</v>
      </c>
      <c r="C742" s="16" t="s">
        <v>127</v>
      </c>
      <c r="D742" s="23" t="s">
        <v>128</v>
      </c>
      <c r="E742" s="17">
        <v>4.0</v>
      </c>
    </row>
    <row r="743">
      <c r="A743" s="16" t="s">
        <v>869</v>
      </c>
      <c r="B743" s="30">
        <v>46044.0007047338</v>
      </c>
      <c r="C743" s="16" t="s">
        <v>127</v>
      </c>
      <c r="D743" s="23" t="s">
        <v>128</v>
      </c>
      <c r="E743" s="17">
        <v>4.0</v>
      </c>
    </row>
    <row r="744">
      <c r="A744" s="16" t="s">
        <v>870</v>
      </c>
      <c r="B744" s="30">
        <v>46044.0007047338</v>
      </c>
      <c r="C744" s="16" t="s">
        <v>127</v>
      </c>
      <c r="D744" s="23" t="s">
        <v>128</v>
      </c>
      <c r="E744" s="17">
        <v>4.0</v>
      </c>
    </row>
    <row r="745">
      <c r="A745" s="16" t="s">
        <v>871</v>
      </c>
      <c r="B745" s="30">
        <v>46044.0007047338</v>
      </c>
      <c r="C745" s="16" t="s">
        <v>127</v>
      </c>
      <c r="D745" s="23" t="s">
        <v>128</v>
      </c>
      <c r="E745" s="17">
        <v>4.0</v>
      </c>
    </row>
    <row r="746">
      <c r="A746" s="16" t="s">
        <v>872</v>
      </c>
      <c r="B746" s="30">
        <v>46044.0007047338</v>
      </c>
      <c r="C746" s="16" t="s">
        <v>127</v>
      </c>
      <c r="D746" s="23" t="s">
        <v>128</v>
      </c>
      <c r="E746" s="17">
        <v>4.0</v>
      </c>
    </row>
    <row r="747">
      <c r="A747" s="16" t="s">
        <v>873</v>
      </c>
      <c r="B747" s="30">
        <v>46044.0007047338</v>
      </c>
      <c r="C747" s="16" t="s">
        <v>127</v>
      </c>
      <c r="D747" s="23" t="s">
        <v>128</v>
      </c>
      <c r="E747" s="17">
        <v>4.0</v>
      </c>
    </row>
    <row r="748">
      <c r="A748" s="16" t="s">
        <v>874</v>
      </c>
      <c r="B748" s="30">
        <v>46044.0007047338</v>
      </c>
      <c r="C748" s="16" t="s">
        <v>127</v>
      </c>
      <c r="D748" s="23" t="s">
        <v>128</v>
      </c>
      <c r="E748" s="17">
        <v>4.0</v>
      </c>
    </row>
    <row r="749">
      <c r="A749" s="16" t="s">
        <v>875</v>
      </c>
      <c r="B749" s="30">
        <v>46044.0007047338</v>
      </c>
      <c r="C749" s="16" t="s">
        <v>127</v>
      </c>
      <c r="D749" s="23" t="s">
        <v>128</v>
      </c>
      <c r="E749" s="17">
        <v>4.0</v>
      </c>
    </row>
    <row r="750">
      <c r="A750" s="16" t="s">
        <v>876</v>
      </c>
      <c r="B750" s="30">
        <v>46044.0007047338</v>
      </c>
      <c r="C750" s="16" t="s">
        <v>127</v>
      </c>
      <c r="D750" s="23" t="s">
        <v>128</v>
      </c>
      <c r="E750" s="17">
        <v>4.0</v>
      </c>
    </row>
    <row r="751">
      <c r="A751" s="16" t="s">
        <v>877</v>
      </c>
      <c r="B751" s="30">
        <v>46044.0007047338</v>
      </c>
      <c r="C751" s="16" t="s">
        <v>127</v>
      </c>
      <c r="D751" s="23" t="s">
        <v>128</v>
      </c>
      <c r="E751" s="17">
        <v>4.0</v>
      </c>
    </row>
    <row r="752">
      <c r="A752" s="16" t="s">
        <v>878</v>
      </c>
      <c r="B752" s="30">
        <v>46044.0007047338</v>
      </c>
      <c r="C752" s="16" t="s">
        <v>127</v>
      </c>
      <c r="D752" s="23" t="s">
        <v>128</v>
      </c>
      <c r="E752" s="17">
        <v>4.0</v>
      </c>
    </row>
    <row r="753">
      <c r="A753" s="16" t="s">
        <v>879</v>
      </c>
      <c r="B753" s="30">
        <v>46044.0007047338</v>
      </c>
      <c r="C753" s="16" t="s">
        <v>127</v>
      </c>
      <c r="D753" s="23" t="s">
        <v>128</v>
      </c>
      <c r="E753" s="17">
        <v>4.0</v>
      </c>
    </row>
    <row r="754">
      <c r="A754" s="16" t="s">
        <v>880</v>
      </c>
      <c r="B754" s="30">
        <v>46044.0007047338</v>
      </c>
      <c r="C754" s="16" t="s">
        <v>127</v>
      </c>
      <c r="D754" s="23" t="s">
        <v>128</v>
      </c>
      <c r="E754" s="17">
        <v>4.0</v>
      </c>
    </row>
    <row r="755">
      <c r="A755" s="16" t="s">
        <v>881</v>
      </c>
      <c r="B755" s="30">
        <v>46044.0007047338</v>
      </c>
      <c r="C755" s="16" t="s">
        <v>127</v>
      </c>
      <c r="D755" s="23" t="s">
        <v>128</v>
      </c>
      <c r="E755" s="17">
        <v>4.0</v>
      </c>
    </row>
    <row r="756">
      <c r="A756" s="16" t="s">
        <v>882</v>
      </c>
      <c r="B756" s="30">
        <v>46044.0007047338</v>
      </c>
      <c r="C756" s="16" t="s">
        <v>127</v>
      </c>
      <c r="D756" s="23" t="s">
        <v>128</v>
      </c>
      <c r="E756" s="17">
        <v>4.0</v>
      </c>
    </row>
    <row r="757">
      <c r="A757" s="16" t="s">
        <v>883</v>
      </c>
      <c r="B757" s="30">
        <v>46044.0007047338</v>
      </c>
      <c r="C757" s="16" t="s">
        <v>127</v>
      </c>
      <c r="D757" s="23" t="s">
        <v>128</v>
      </c>
      <c r="E757" s="17">
        <v>4.0</v>
      </c>
    </row>
    <row r="758">
      <c r="A758" s="16" t="s">
        <v>884</v>
      </c>
      <c r="B758" s="30">
        <v>46044.0007047338</v>
      </c>
      <c r="C758" s="16" t="s">
        <v>127</v>
      </c>
      <c r="D758" s="23" t="s">
        <v>128</v>
      </c>
      <c r="E758" s="17">
        <v>4.0</v>
      </c>
    </row>
    <row r="759">
      <c r="A759" s="16" t="s">
        <v>885</v>
      </c>
      <c r="B759" s="30">
        <v>46044.0007047338</v>
      </c>
      <c r="C759" s="16" t="s">
        <v>127</v>
      </c>
      <c r="D759" s="23" t="s">
        <v>128</v>
      </c>
      <c r="E759" s="17">
        <v>4.0</v>
      </c>
    </row>
    <row r="760">
      <c r="A760" s="16" t="s">
        <v>886</v>
      </c>
      <c r="B760" s="30">
        <v>46044.0007047338</v>
      </c>
      <c r="C760" s="16" t="s">
        <v>127</v>
      </c>
      <c r="D760" s="23" t="s">
        <v>128</v>
      </c>
      <c r="E760" s="17">
        <v>4.0</v>
      </c>
    </row>
    <row r="761">
      <c r="A761" s="16" t="s">
        <v>887</v>
      </c>
      <c r="B761" s="30">
        <v>46044.0007047338</v>
      </c>
      <c r="C761" s="16" t="s">
        <v>127</v>
      </c>
      <c r="D761" s="23" t="s">
        <v>128</v>
      </c>
      <c r="E761" s="17">
        <v>4.0</v>
      </c>
    </row>
    <row r="762">
      <c r="A762" s="16" t="s">
        <v>888</v>
      </c>
      <c r="B762" s="30">
        <v>46044.0007047338</v>
      </c>
      <c r="C762" s="16" t="s">
        <v>127</v>
      </c>
      <c r="D762" s="23" t="s">
        <v>128</v>
      </c>
      <c r="E762" s="17">
        <v>4.0</v>
      </c>
    </row>
    <row r="763">
      <c r="A763" s="16" t="s">
        <v>889</v>
      </c>
      <c r="B763" s="30">
        <v>46044.0007047338</v>
      </c>
      <c r="C763" s="16" t="s">
        <v>127</v>
      </c>
      <c r="D763" s="23" t="s">
        <v>128</v>
      </c>
      <c r="E763" s="17">
        <v>4.0</v>
      </c>
    </row>
    <row r="764">
      <c r="A764" s="16" t="s">
        <v>890</v>
      </c>
      <c r="B764" s="30">
        <v>46044.0007047338</v>
      </c>
      <c r="C764" s="16" t="s">
        <v>127</v>
      </c>
      <c r="D764" s="23" t="s">
        <v>128</v>
      </c>
      <c r="E764" s="17">
        <v>4.0</v>
      </c>
    </row>
    <row r="765">
      <c r="A765" s="16" t="s">
        <v>891</v>
      </c>
      <c r="B765" s="30">
        <v>46044.0007047338</v>
      </c>
      <c r="C765" s="16" t="s">
        <v>127</v>
      </c>
      <c r="D765" s="23" t="s">
        <v>128</v>
      </c>
      <c r="E765" s="17">
        <v>4.0</v>
      </c>
    </row>
    <row r="766">
      <c r="A766" s="16" t="s">
        <v>892</v>
      </c>
      <c r="B766" s="30">
        <v>46044.0007047338</v>
      </c>
      <c r="C766" s="16" t="s">
        <v>127</v>
      </c>
      <c r="D766" s="23" t="s">
        <v>128</v>
      </c>
      <c r="E766" s="17">
        <v>4.0</v>
      </c>
    </row>
    <row r="767">
      <c r="A767" s="16" t="s">
        <v>893</v>
      </c>
      <c r="B767" s="30">
        <v>46044.0007047338</v>
      </c>
      <c r="C767" s="16" t="s">
        <v>127</v>
      </c>
      <c r="D767" s="23" t="s">
        <v>128</v>
      </c>
      <c r="E767" s="17">
        <v>4.0</v>
      </c>
    </row>
    <row r="768">
      <c r="A768" s="16" t="s">
        <v>894</v>
      </c>
      <c r="B768" s="30">
        <v>46044.0007047338</v>
      </c>
      <c r="C768" s="16" t="s">
        <v>127</v>
      </c>
      <c r="D768" s="23" t="s">
        <v>128</v>
      </c>
      <c r="E768" s="17">
        <v>4.0</v>
      </c>
    </row>
    <row r="769">
      <c r="A769" s="16" t="s">
        <v>895</v>
      </c>
      <c r="B769" s="30">
        <v>46044.0007047338</v>
      </c>
      <c r="C769" s="16" t="s">
        <v>127</v>
      </c>
      <c r="D769" s="23" t="s">
        <v>128</v>
      </c>
      <c r="E769" s="17">
        <v>4.0</v>
      </c>
    </row>
    <row r="770">
      <c r="A770" s="16" t="s">
        <v>896</v>
      </c>
      <c r="B770" s="30">
        <v>46044.0007047338</v>
      </c>
      <c r="C770" s="16" t="s">
        <v>127</v>
      </c>
      <c r="D770" s="23" t="s">
        <v>128</v>
      </c>
      <c r="E770" s="17">
        <v>4.0</v>
      </c>
    </row>
    <row r="771">
      <c r="A771" s="16" t="s">
        <v>897</v>
      </c>
      <c r="B771" s="30">
        <v>46044.0007047338</v>
      </c>
      <c r="C771" s="16" t="s">
        <v>127</v>
      </c>
      <c r="D771" s="23" t="s">
        <v>128</v>
      </c>
      <c r="E771" s="17">
        <v>4.0</v>
      </c>
    </row>
    <row r="772">
      <c r="A772" s="16" t="s">
        <v>898</v>
      </c>
      <c r="B772" s="30">
        <v>46044.0007047338</v>
      </c>
      <c r="C772" s="16" t="s">
        <v>127</v>
      </c>
      <c r="D772" s="23" t="s">
        <v>128</v>
      </c>
      <c r="E772" s="17">
        <v>4.0</v>
      </c>
    </row>
    <row r="773">
      <c r="A773" s="16" t="s">
        <v>899</v>
      </c>
      <c r="B773" s="30">
        <v>46044.0007047338</v>
      </c>
      <c r="C773" s="16" t="s">
        <v>127</v>
      </c>
      <c r="D773" s="23" t="s">
        <v>128</v>
      </c>
      <c r="E773" s="17">
        <v>4.0</v>
      </c>
    </row>
    <row r="774">
      <c r="A774" s="16" t="s">
        <v>900</v>
      </c>
      <c r="B774" s="30">
        <v>46044.0007047338</v>
      </c>
      <c r="C774" s="16" t="s">
        <v>127</v>
      </c>
      <c r="D774" s="23" t="s">
        <v>128</v>
      </c>
      <c r="E774" s="17">
        <v>4.0</v>
      </c>
    </row>
    <row r="775">
      <c r="A775" s="16" t="s">
        <v>901</v>
      </c>
      <c r="B775" s="30">
        <v>46044.0007047338</v>
      </c>
      <c r="C775" s="16" t="s">
        <v>127</v>
      </c>
      <c r="D775" s="23" t="s">
        <v>128</v>
      </c>
      <c r="E775" s="17">
        <v>4.0</v>
      </c>
    </row>
    <row r="776">
      <c r="A776" s="16" t="s">
        <v>902</v>
      </c>
      <c r="B776" s="30">
        <v>46044.0007047338</v>
      </c>
      <c r="C776" s="16" t="s">
        <v>127</v>
      </c>
      <c r="D776" s="23" t="s">
        <v>128</v>
      </c>
      <c r="E776" s="17">
        <v>4.0</v>
      </c>
    </row>
    <row r="777">
      <c r="A777" s="16" t="s">
        <v>903</v>
      </c>
      <c r="B777" s="30">
        <v>46044.0007047338</v>
      </c>
      <c r="C777" s="16" t="s">
        <v>127</v>
      </c>
      <c r="D777" s="23" t="s">
        <v>128</v>
      </c>
      <c r="E777" s="17">
        <v>4.0</v>
      </c>
    </row>
    <row r="778">
      <c r="A778" s="16" t="s">
        <v>904</v>
      </c>
      <c r="B778" s="30">
        <v>46044.0007047338</v>
      </c>
      <c r="C778" s="16" t="s">
        <v>127</v>
      </c>
      <c r="D778" s="23" t="s">
        <v>128</v>
      </c>
      <c r="E778" s="17">
        <v>4.0</v>
      </c>
    </row>
    <row r="779">
      <c r="A779" s="16" t="s">
        <v>905</v>
      </c>
      <c r="B779" s="30">
        <v>46044.0007047338</v>
      </c>
      <c r="C779" s="16" t="s">
        <v>127</v>
      </c>
      <c r="D779" s="23" t="s">
        <v>128</v>
      </c>
      <c r="E779" s="17">
        <v>4.0</v>
      </c>
    </row>
    <row r="780">
      <c r="A780" s="16" t="s">
        <v>906</v>
      </c>
      <c r="B780" s="30">
        <v>46044.0007047338</v>
      </c>
      <c r="C780" s="16" t="s">
        <v>127</v>
      </c>
      <c r="D780" s="23" t="s">
        <v>128</v>
      </c>
      <c r="E780" s="17">
        <v>4.0</v>
      </c>
    </row>
    <row r="781">
      <c r="A781" s="16" t="s">
        <v>907</v>
      </c>
      <c r="B781" s="30">
        <v>46044.0007047338</v>
      </c>
      <c r="C781" s="16" t="s">
        <v>127</v>
      </c>
      <c r="D781" s="23" t="s">
        <v>128</v>
      </c>
      <c r="E781" s="17">
        <v>4.0</v>
      </c>
    </row>
    <row r="782">
      <c r="A782" s="16" t="s">
        <v>908</v>
      </c>
      <c r="B782" s="30">
        <v>46044.0007047338</v>
      </c>
      <c r="C782" s="16" t="s">
        <v>127</v>
      </c>
      <c r="D782" s="23" t="s">
        <v>128</v>
      </c>
      <c r="E782" s="17">
        <v>4.0</v>
      </c>
    </row>
    <row r="783">
      <c r="A783" s="16" t="s">
        <v>909</v>
      </c>
      <c r="B783" s="30">
        <v>46044.0007047338</v>
      </c>
      <c r="C783" s="16" t="s">
        <v>127</v>
      </c>
      <c r="D783" s="23" t="s">
        <v>128</v>
      </c>
      <c r="E783" s="17">
        <v>4.0</v>
      </c>
    </row>
    <row r="784">
      <c r="A784" s="16" t="s">
        <v>910</v>
      </c>
      <c r="B784" s="30">
        <v>46044.0007047338</v>
      </c>
      <c r="C784" s="16" t="s">
        <v>127</v>
      </c>
      <c r="D784" s="23" t="s">
        <v>128</v>
      </c>
      <c r="E784" s="17">
        <v>4.0</v>
      </c>
    </row>
    <row r="785">
      <c r="A785" s="16" t="s">
        <v>911</v>
      </c>
      <c r="B785" s="30">
        <v>46044.0007047338</v>
      </c>
      <c r="C785" s="16" t="s">
        <v>127</v>
      </c>
      <c r="D785" s="23" t="s">
        <v>128</v>
      </c>
      <c r="E785" s="17">
        <v>4.0</v>
      </c>
    </row>
    <row r="786">
      <c r="A786" s="16" t="s">
        <v>912</v>
      </c>
      <c r="B786" s="30">
        <v>46044.0007047338</v>
      </c>
      <c r="C786" s="16" t="s">
        <v>127</v>
      </c>
      <c r="D786" s="23" t="s">
        <v>128</v>
      </c>
      <c r="E786" s="17">
        <v>4.0</v>
      </c>
    </row>
    <row r="787">
      <c r="A787" s="16" t="s">
        <v>913</v>
      </c>
      <c r="B787" s="30">
        <v>46044.0007047338</v>
      </c>
      <c r="C787" s="16" t="s">
        <v>127</v>
      </c>
      <c r="D787" s="23" t="s">
        <v>128</v>
      </c>
      <c r="E787" s="17">
        <v>4.0</v>
      </c>
    </row>
    <row r="788">
      <c r="A788" s="16" t="s">
        <v>914</v>
      </c>
      <c r="B788" s="30">
        <v>46044.0007047338</v>
      </c>
      <c r="C788" s="16" t="s">
        <v>127</v>
      </c>
      <c r="D788" s="23" t="s">
        <v>128</v>
      </c>
      <c r="E788" s="17">
        <v>4.0</v>
      </c>
    </row>
    <row r="789">
      <c r="A789" s="16" t="s">
        <v>915</v>
      </c>
      <c r="B789" s="30">
        <v>46044.0007047338</v>
      </c>
      <c r="C789" s="16" t="s">
        <v>127</v>
      </c>
      <c r="D789" s="23" t="s">
        <v>128</v>
      </c>
      <c r="E789" s="17">
        <v>4.0</v>
      </c>
    </row>
    <row r="790">
      <c r="A790" s="16" t="s">
        <v>916</v>
      </c>
      <c r="B790" s="30">
        <v>46044.0007047338</v>
      </c>
      <c r="C790" s="16" t="s">
        <v>127</v>
      </c>
      <c r="D790" s="23" t="s">
        <v>128</v>
      </c>
      <c r="E790" s="17">
        <v>4.0</v>
      </c>
    </row>
    <row r="791">
      <c r="A791" s="16" t="s">
        <v>917</v>
      </c>
      <c r="B791" s="30">
        <v>46044.0007047338</v>
      </c>
      <c r="C791" s="16" t="s">
        <v>127</v>
      </c>
      <c r="D791" s="23" t="s">
        <v>128</v>
      </c>
      <c r="E791" s="17">
        <v>4.0</v>
      </c>
    </row>
    <row r="792">
      <c r="A792" s="16" t="s">
        <v>918</v>
      </c>
      <c r="B792" s="30">
        <v>46044.0007047338</v>
      </c>
      <c r="C792" s="16" t="s">
        <v>127</v>
      </c>
      <c r="D792" s="23" t="s">
        <v>128</v>
      </c>
      <c r="E792" s="17">
        <v>4.0</v>
      </c>
    </row>
    <row r="793">
      <c r="A793" s="16" t="s">
        <v>919</v>
      </c>
      <c r="B793" s="30">
        <v>46044.0007047338</v>
      </c>
      <c r="C793" s="16" t="s">
        <v>127</v>
      </c>
      <c r="D793" s="23" t="s">
        <v>128</v>
      </c>
      <c r="E793" s="17">
        <v>4.0</v>
      </c>
    </row>
    <row r="794">
      <c r="A794" s="16" t="s">
        <v>920</v>
      </c>
      <c r="B794" s="30">
        <v>46044.00070474537</v>
      </c>
      <c r="C794" s="16" t="s">
        <v>127</v>
      </c>
      <c r="D794" s="23" t="s">
        <v>128</v>
      </c>
      <c r="E794" s="17">
        <v>4.0</v>
      </c>
    </row>
    <row r="795">
      <c r="A795" s="16" t="s">
        <v>921</v>
      </c>
      <c r="B795" s="30">
        <v>46044.00070474537</v>
      </c>
      <c r="C795" s="16" t="s">
        <v>127</v>
      </c>
      <c r="D795" s="23" t="s">
        <v>128</v>
      </c>
      <c r="E795" s="17">
        <v>4.0</v>
      </c>
    </row>
    <row r="796">
      <c r="A796" s="16" t="s">
        <v>922</v>
      </c>
      <c r="B796" s="30">
        <v>46044.00070474537</v>
      </c>
      <c r="C796" s="16" t="s">
        <v>127</v>
      </c>
      <c r="D796" s="23" t="s">
        <v>128</v>
      </c>
      <c r="E796" s="17">
        <v>4.0</v>
      </c>
    </row>
    <row r="797">
      <c r="A797" s="16" t="s">
        <v>923</v>
      </c>
      <c r="B797" s="30">
        <v>46044.00070474537</v>
      </c>
      <c r="C797" s="16" t="s">
        <v>127</v>
      </c>
      <c r="D797" s="23" t="s">
        <v>128</v>
      </c>
      <c r="E797" s="17">
        <v>4.0</v>
      </c>
    </row>
    <row r="798">
      <c r="A798" s="16" t="s">
        <v>924</v>
      </c>
      <c r="B798" s="30">
        <v>46044.00070474537</v>
      </c>
      <c r="C798" s="16" t="s">
        <v>127</v>
      </c>
      <c r="D798" s="23" t="s">
        <v>128</v>
      </c>
      <c r="E798" s="17">
        <v>4.0</v>
      </c>
    </row>
    <row r="799">
      <c r="A799" s="16" t="s">
        <v>925</v>
      </c>
      <c r="B799" s="30">
        <v>46044.00070474537</v>
      </c>
      <c r="C799" s="16" t="s">
        <v>127</v>
      </c>
      <c r="D799" s="23" t="s">
        <v>128</v>
      </c>
      <c r="E799" s="17">
        <v>4.0</v>
      </c>
    </row>
    <row r="800">
      <c r="A800" s="16" t="s">
        <v>926</v>
      </c>
      <c r="B800" s="30">
        <v>46044.00070474537</v>
      </c>
      <c r="C800" s="16" t="s">
        <v>127</v>
      </c>
      <c r="D800" s="23" t="s">
        <v>128</v>
      </c>
      <c r="E800" s="17">
        <v>4.0</v>
      </c>
    </row>
    <row r="801">
      <c r="A801" s="16" t="s">
        <v>927</v>
      </c>
      <c r="B801" s="30">
        <v>46044.00070474537</v>
      </c>
      <c r="C801" s="16" t="s">
        <v>127</v>
      </c>
      <c r="D801" s="23" t="s">
        <v>128</v>
      </c>
      <c r="E801" s="17">
        <v>4.0</v>
      </c>
    </row>
    <row r="802">
      <c r="A802" s="16" t="s">
        <v>928</v>
      </c>
      <c r="B802" s="30">
        <v>46044.00070474537</v>
      </c>
      <c r="C802" s="16" t="s">
        <v>127</v>
      </c>
      <c r="D802" s="23" t="s">
        <v>128</v>
      </c>
      <c r="E802" s="17">
        <v>4.0</v>
      </c>
    </row>
    <row r="803">
      <c r="A803" s="16" t="s">
        <v>929</v>
      </c>
      <c r="B803" s="30">
        <v>46044.00070474537</v>
      </c>
      <c r="C803" s="16" t="s">
        <v>127</v>
      </c>
      <c r="D803" s="23" t="s">
        <v>128</v>
      </c>
      <c r="E803" s="17">
        <v>4.0</v>
      </c>
    </row>
    <row r="804">
      <c r="A804" s="16" t="s">
        <v>930</v>
      </c>
      <c r="B804" s="30">
        <v>46044.00070474537</v>
      </c>
      <c r="C804" s="16" t="s">
        <v>127</v>
      </c>
      <c r="D804" s="23" t="s">
        <v>128</v>
      </c>
      <c r="E804" s="17">
        <v>4.0</v>
      </c>
    </row>
    <row r="805">
      <c r="A805" s="16" t="s">
        <v>931</v>
      </c>
      <c r="B805" s="30">
        <v>46044.00070474537</v>
      </c>
      <c r="C805" s="16" t="s">
        <v>127</v>
      </c>
      <c r="D805" s="23" t="s">
        <v>128</v>
      </c>
      <c r="E805" s="17">
        <v>4.0</v>
      </c>
    </row>
    <row r="806">
      <c r="A806" s="16" t="s">
        <v>932</v>
      </c>
      <c r="B806" s="30">
        <v>46044.00070474537</v>
      </c>
      <c r="C806" s="16" t="s">
        <v>127</v>
      </c>
      <c r="D806" s="23" t="s">
        <v>128</v>
      </c>
      <c r="E806" s="17">
        <v>4.0</v>
      </c>
    </row>
    <row r="807">
      <c r="A807" s="16" t="s">
        <v>933</v>
      </c>
      <c r="B807" s="30">
        <v>46044.00070474537</v>
      </c>
      <c r="C807" s="16" t="s">
        <v>127</v>
      </c>
      <c r="D807" s="23" t="s">
        <v>128</v>
      </c>
      <c r="E807" s="17">
        <v>4.0</v>
      </c>
    </row>
    <row r="808">
      <c r="A808" s="16" t="s">
        <v>934</v>
      </c>
      <c r="B808" s="30">
        <v>46044.00070474537</v>
      </c>
      <c r="C808" s="16" t="s">
        <v>127</v>
      </c>
      <c r="D808" s="23" t="s">
        <v>128</v>
      </c>
      <c r="E808" s="17">
        <v>4.0</v>
      </c>
    </row>
    <row r="809">
      <c r="A809" s="16" t="s">
        <v>935</v>
      </c>
      <c r="B809" s="30">
        <v>46044.00070474537</v>
      </c>
      <c r="C809" s="16" t="s">
        <v>127</v>
      </c>
      <c r="D809" s="23" t="s">
        <v>128</v>
      </c>
      <c r="E809" s="17">
        <v>4.0</v>
      </c>
    </row>
    <row r="810">
      <c r="A810" s="16" t="s">
        <v>936</v>
      </c>
      <c r="B810" s="30">
        <v>46044.00070474537</v>
      </c>
      <c r="C810" s="16" t="s">
        <v>127</v>
      </c>
      <c r="D810" s="23" t="s">
        <v>128</v>
      </c>
      <c r="E810" s="17">
        <v>4.0</v>
      </c>
    </row>
    <row r="811">
      <c r="A811" s="16" t="s">
        <v>937</v>
      </c>
      <c r="B811" s="30">
        <v>46044.00070474537</v>
      </c>
      <c r="C811" s="16" t="s">
        <v>127</v>
      </c>
      <c r="D811" s="23" t="s">
        <v>128</v>
      </c>
      <c r="E811" s="17">
        <v>4.0</v>
      </c>
    </row>
    <row r="812">
      <c r="A812" s="16" t="s">
        <v>938</v>
      </c>
      <c r="B812" s="30">
        <v>46044.00070474537</v>
      </c>
      <c r="C812" s="16" t="s">
        <v>127</v>
      </c>
      <c r="D812" s="23" t="s">
        <v>128</v>
      </c>
      <c r="E812" s="17">
        <v>4.0</v>
      </c>
    </row>
    <row r="813">
      <c r="A813" s="16" t="s">
        <v>939</v>
      </c>
      <c r="B813" s="30">
        <v>46044.00070474537</v>
      </c>
      <c r="C813" s="16" t="s">
        <v>127</v>
      </c>
      <c r="D813" s="23" t="s">
        <v>128</v>
      </c>
      <c r="E813" s="17">
        <v>4.0</v>
      </c>
    </row>
    <row r="814">
      <c r="A814" s="16" t="s">
        <v>940</v>
      </c>
      <c r="B814" s="30">
        <v>46044.00070474537</v>
      </c>
      <c r="C814" s="16" t="s">
        <v>127</v>
      </c>
      <c r="D814" s="23" t="s">
        <v>128</v>
      </c>
      <c r="E814" s="17">
        <v>4.0</v>
      </c>
    </row>
    <row r="815">
      <c r="A815" s="16" t="s">
        <v>941</v>
      </c>
      <c r="B815" s="30">
        <v>46044.00070474537</v>
      </c>
      <c r="C815" s="16" t="s">
        <v>127</v>
      </c>
      <c r="D815" s="23" t="s">
        <v>128</v>
      </c>
      <c r="E815" s="17">
        <v>4.0</v>
      </c>
    </row>
    <row r="816">
      <c r="A816" s="16" t="s">
        <v>942</v>
      </c>
      <c r="B816" s="30">
        <v>46044.00070474537</v>
      </c>
      <c r="C816" s="16" t="s">
        <v>127</v>
      </c>
      <c r="D816" s="23" t="s">
        <v>128</v>
      </c>
      <c r="E816" s="17">
        <v>4.0</v>
      </c>
    </row>
    <row r="817">
      <c r="A817" s="16" t="s">
        <v>943</v>
      </c>
      <c r="B817" s="30">
        <v>46044.00070474537</v>
      </c>
      <c r="C817" s="16" t="s">
        <v>127</v>
      </c>
      <c r="D817" s="23" t="s">
        <v>128</v>
      </c>
      <c r="E817" s="17">
        <v>4.0</v>
      </c>
    </row>
    <row r="818">
      <c r="A818" s="16" t="s">
        <v>944</v>
      </c>
      <c r="B818" s="30">
        <v>46044.00070474537</v>
      </c>
      <c r="C818" s="16" t="s">
        <v>127</v>
      </c>
      <c r="D818" s="23" t="s">
        <v>128</v>
      </c>
      <c r="E818" s="17">
        <v>4.0</v>
      </c>
    </row>
    <row r="819">
      <c r="A819" s="16" t="s">
        <v>945</v>
      </c>
      <c r="B819" s="30">
        <v>46044.00070474537</v>
      </c>
      <c r="C819" s="16" t="s">
        <v>127</v>
      </c>
      <c r="D819" s="23" t="s">
        <v>128</v>
      </c>
      <c r="E819" s="17">
        <v>4.0</v>
      </c>
    </row>
    <row r="820">
      <c r="A820" s="16" t="s">
        <v>946</v>
      </c>
      <c r="B820" s="30">
        <v>46044.00070474537</v>
      </c>
      <c r="C820" s="16" t="s">
        <v>127</v>
      </c>
      <c r="D820" s="23" t="s">
        <v>128</v>
      </c>
      <c r="E820" s="17">
        <v>4.0</v>
      </c>
    </row>
    <row r="821">
      <c r="A821" s="16" t="s">
        <v>947</v>
      </c>
      <c r="B821" s="30">
        <v>46044.00070474537</v>
      </c>
      <c r="C821" s="16" t="s">
        <v>127</v>
      </c>
      <c r="D821" s="23" t="s">
        <v>128</v>
      </c>
      <c r="E821" s="17">
        <v>4.0</v>
      </c>
    </row>
    <row r="822">
      <c r="A822" s="16" t="s">
        <v>948</v>
      </c>
      <c r="B822" s="30">
        <v>46044.00070474537</v>
      </c>
      <c r="C822" s="16" t="s">
        <v>127</v>
      </c>
      <c r="D822" s="23" t="s">
        <v>128</v>
      </c>
      <c r="E822" s="17">
        <v>4.0</v>
      </c>
    </row>
    <row r="823">
      <c r="A823" s="16" t="s">
        <v>949</v>
      </c>
      <c r="B823" s="30">
        <v>46044.00070474537</v>
      </c>
      <c r="C823" s="16" t="s">
        <v>127</v>
      </c>
      <c r="D823" s="23" t="s">
        <v>128</v>
      </c>
      <c r="E823" s="17">
        <v>4.0</v>
      </c>
    </row>
    <row r="824">
      <c r="A824" s="16" t="s">
        <v>950</v>
      </c>
      <c r="B824" s="30">
        <v>46044.00070474537</v>
      </c>
      <c r="C824" s="16" t="s">
        <v>127</v>
      </c>
      <c r="D824" s="23" t="s">
        <v>128</v>
      </c>
      <c r="E824" s="17">
        <v>4.0</v>
      </c>
    </row>
    <row r="825">
      <c r="A825" s="16" t="s">
        <v>951</v>
      </c>
      <c r="B825" s="30">
        <v>46044.00070474537</v>
      </c>
      <c r="C825" s="16" t="s">
        <v>127</v>
      </c>
      <c r="D825" s="23" t="s">
        <v>128</v>
      </c>
      <c r="E825" s="17">
        <v>4.0</v>
      </c>
    </row>
    <row r="826">
      <c r="A826" s="16" t="s">
        <v>952</v>
      </c>
      <c r="B826" s="30">
        <v>46044.00070474537</v>
      </c>
      <c r="C826" s="16" t="s">
        <v>127</v>
      </c>
      <c r="D826" s="23" t="s">
        <v>128</v>
      </c>
      <c r="E826" s="17">
        <v>4.0</v>
      </c>
    </row>
    <row r="827">
      <c r="A827" s="16" t="s">
        <v>953</v>
      </c>
      <c r="B827" s="30">
        <v>46044.00070474537</v>
      </c>
      <c r="C827" s="16" t="s">
        <v>127</v>
      </c>
      <c r="D827" s="23" t="s">
        <v>128</v>
      </c>
      <c r="E827" s="17">
        <v>4.0</v>
      </c>
    </row>
    <row r="828">
      <c r="A828" s="16" t="s">
        <v>954</v>
      </c>
      <c r="B828" s="30">
        <v>46044.00070474537</v>
      </c>
      <c r="C828" s="16" t="s">
        <v>127</v>
      </c>
      <c r="D828" s="23" t="s">
        <v>128</v>
      </c>
      <c r="E828" s="17">
        <v>4.0</v>
      </c>
    </row>
    <row r="829">
      <c r="A829" s="16" t="s">
        <v>955</v>
      </c>
      <c r="B829" s="30">
        <v>46044.00070474537</v>
      </c>
      <c r="C829" s="16" t="s">
        <v>127</v>
      </c>
      <c r="D829" s="23" t="s">
        <v>128</v>
      </c>
      <c r="E829" s="17">
        <v>4.0</v>
      </c>
    </row>
    <row r="830">
      <c r="A830" s="16" t="s">
        <v>956</v>
      </c>
      <c r="B830" s="30">
        <v>46044.00070474537</v>
      </c>
      <c r="C830" s="16" t="s">
        <v>127</v>
      </c>
      <c r="D830" s="23" t="s">
        <v>128</v>
      </c>
      <c r="E830" s="17">
        <v>4.0</v>
      </c>
    </row>
    <row r="831">
      <c r="A831" s="16" t="s">
        <v>957</v>
      </c>
      <c r="B831" s="30">
        <v>46044.00070474537</v>
      </c>
      <c r="C831" s="16" t="s">
        <v>127</v>
      </c>
      <c r="D831" s="23" t="s">
        <v>128</v>
      </c>
      <c r="E831" s="17">
        <v>4.0</v>
      </c>
    </row>
    <row r="832">
      <c r="A832" s="16" t="s">
        <v>958</v>
      </c>
      <c r="B832" s="30">
        <v>46044.00070474537</v>
      </c>
      <c r="C832" s="16" t="s">
        <v>127</v>
      </c>
      <c r="D832" s="23" t="s">
        <v>128</v>
      </c>
      <c r="E832" s="17">
        <v>4.0</v>
      </c>
    </row>
    <row r="833">
      <c r="A833" s="16" t="s">
        <v>959</v>
      </c>
      <c r="B833" s="30">
        <v>46044.00070474537</v>
      </c>
      <c r="C833" s="16" t="s">
        <v>127</v>
      </c>
      <c r="D833" s="23" t="s">
        <v>128</v>
      </c>
      <c r="E833" s="17">
        <v>4.0</v>
      </c>
    </row>
    <row r="834">
      <c r="A834" s="16" t="s">
        <v>960</v>
      </c>
      <c r="B834" s="30">
        <v>46044.00070474537</v>
      </c>
      <c r="C834" s="16" t="s">
        <v>127</v>
      </c>
      <c r="D834" s="23" t="s">
        <v>128</v>
      </c>
      <c r="E834" s="17">
        <v>4.0</v>
      </c>
    </row>
    <row r="835">
      <c r="A835" s="16" t="s">
        <v>961</v>
      </c>
      <c r="B835" s="30">
        <v>46044.00070474537</v>
      </c>
      <c r="C835" s="16" t="s">
        <v>127</v>
      </c>
      <c r="D835" s="23" t="s">
        <v>128</v>
      </c>
      <c r="E835" s="17">
        <v>4.0</v>
      </c>
    </row>
    <row r="836">
      <c r="A836" s="16" t="s">
        <v>962</v>
      </c>
      <c r="B836" s="30">
        <v>46044.00070474537</v>
      </c>
      <c r="C836" s="16" t="s">
        <v>127</v>
      </c>
      <c r="D836" s="23" t="s">
        <v>128</v>
      </c>
      <c r="E836" s="17">
        <v>4.0</v>
      </c>
    </row>
    <row r="837">
      <c r="A837" s="16" t="s">
        <v>963</v>
      </c>
      <c r="B837" s="30">
        <v>46044.00070474537</v>
      </c>
      <c r="C837" s="16" t="s">
        <v>127</v>
      </c>
      <c r="D837" s="23" t="s">
        <v>128</v>
      </c>
      <c r="E837" s="17">
        <v>4.0</v>
      </c>
    </row>
    <row r="838">
      <c r="A838" s="16" t="s">
        <v>964</v>
      </c>
      <c r="B838" s="30">
        <v>46044.00070474537</v>
      </c>
      <c r="C838" s="16" t="s">
        <v>127</v>
      </c>
      <c r="D838" s="23" t="s">
        <v>128</v>
      </c>
      <c r="E838" s="17">
        <v>4.0</v>
      </c>
    </row>
    <row r="839">
      <c r="A839" s="16" t="s">
        <v>965</v>
      </c>
      <c r="B839" s="30">
        <v>46044.00070474537</v>
      </c>
      <c r="C839" s="16" t="s">
        <v>127</v>
      </c>
      <c r="D839" s="23" t="s">
        <v>128</v>
      </c>
      <c r="E839" s="17">
        <v>4.0</v>
      </c>
    </row>
    <row r="840">
      <c r="A840" s="16" t="s">
        <v>966</v>
      </c>
      <c r="B840" s="30">
        <v>46044.00070474537</v>
      </c>
      <c r="C840" s="16" t="s">
        <v>127</v>
      </c>
      <c r="D840" s="23" t="s">
        <v>128</v>
      </c>
      <c r="E840" s="17">
        <v>4.0</v>
      </c>
    </row>
    <row r="841">
      <c r="A841" s="16" t="s">
        <v>967</v>
      </c>
      <c r="B841" s="30">
        <v>46044.00070474537</v>
      </c>
      <c r="C841" s="16" t="s">
        <v>127</v>
      </c>
      <c r="D841" s="23" t="s">
        <v>128</v>
      </c>
      <c r="E841" s="17">
        <v>4.0</v>
      </c>
    </row>
    <row r="842">
      <c r="A842" s="16" t="s">
        <v>968</v>
      </c>
      <c r="B842" s="30">
        <v>46044.00070474537</v>
      </c>
      <c r="C842" s="16" t="s">
        <v>127</v>
      </c>
      <c r="D842" s="23" t="s">
        <v>128</v>
      </c>
      <c r="E842" s="17">
        <v>4.0</v>
      </c>
    </row>
    <row r="843">
      <c r="A843" s="16" t="s">
        <v>969</v>
      </c>
      <c r="B843" s="30">
        <v>46044.00070474537</v>
      </c>
      <c r="C843" s="16" t="s">
        <v>127</v>
      </c>
      <c r="D843" s="23" t="s">
        <v>128</v>
      </c>
      <c r="E843" s="17">
        <v>4.0</v>
      </c>
    </row>
    <row r="844">
      <c r="A844" s="16" t="s">
        <v>970</v>
      </c>
      <c r="B844" s="30">
        <v>46044.00070474537</v>
      </c>
      <c r="C844" s="16" t="s">
        <v>127</v>
      </c>
      <c r="D844" s="23" t="s">
        <v>128</v>
      </c>
      <c r="E844" s="17">
        <v>4.0</v>
      </c>
    </row>
    <row r="845">
      <c r="A845" s="16" t="s">
        <v>971</v>
      </c>
      <c r="B845" s="30">
        <v>46044.00070474537</v>
      </c>
      <c r="C845" s="16" t="s">
        <v>127</v>
      </c>
      <c r="D845" s="23" t="s">
        <v>128</v>
      </c>
      <c r="E845" s="17">
        <v>4.0</v>
      </c>
    </row>
    <row r="846">
      <c r="A846" s="16" t="s">
        <v>972</v>
      </c>
      <c r="B846" s="30">
        <v>46044.00070474537</v>
      </c>
      <c r="C846" s="16" t="s">
        <v>127</v>
      </c>
      <c r="D846" s="23" t="s">
        <v>128</v>
      </c>
      <c r="E846" s="17">
        <v>4.0</v>
      </c>
    </row>
    <row r="847">
      <c r="A847" s="16" t="s">
        <v>973</v>
      </c>
      <c r="B847" s="30">
        <v>46044.00070474537</v>
      </c>
      <c r="C847" s="16" t="s">
        <v>127</v>
      </c>
      <c r="D847" s="23" t="s">
        <v>128</v>
      </c>
      <c r="E847" s="17">
        <v>4.0</v>
      </c>
    </row>
    <row r="848">
      <c r="A848" s="16" t="s">
        <v>974</v>
      </c>
      <c r="B848" s="30">
        <v>46044.00070474537</v>
      </c>
      <c r="C848" s="16" t="s">
        <v>127</v>
      </c>
      <c r="D848" s="23" t="s">
        <v>128</v>
      </c>
      <c r="E848" s="17">
        <v>4.0</v>
      </c>
    </row>
    <row r="849">
      <c r="A849" s="16" t="s">
        <v>975</v>
      </c>
      <c r="B849" s="30">
        <v>46044.00070474537</v>
      </c>
      <c r="C849" s="16" t="s">
        <v>127</v>
      </c>
      <c r="D849" s="23" t="s">
        <v>128</v>
      </c>
      <c r="E849" s="17">
        <v>4.0</v>
      </c>
    </row>
    <row r="850">
      <c r="A850" s="16" t="s">
        <v>976</v>
      </c>
      <c r="B850" s="30">
        <v>46044.00070474537</v>
      </c>
      <c r="C850" s="16" t="s">
        <v>127</v>
      </c>
      <c r="D850" s="23" t="s">
        <v>128</v>
      </c>
      <c r="E850" s="17">
        <v>4.0</v>
      </c>
    </row>
    <row r="851">
      <c r="A851" s="16" t="s">
        <v>977</v>
      </c>
      <c r="B851" s="30">
        <v>46044.00070474537</v>
      </c>
      <c r="C851" s="16" t="s">
        <v>127</v>
      </c>
      <c r="D851" s="23" t="s">
        <v>128</v>
      </c>
      <c r="E851" s="17">
        <v>4.0</v>
      </c>
    </row>
    <row r="852">
      <c r="A852" s="16" t="s">
        <v>978</v>
      </c>
      <c r="B852" s="30">
        <v>46044.00070474537</v>
      </c>
      <c r="C852" s="16" t="s">
        <v>127</v>
      </c>
      <c r="D852" s="23" t="s">
        <v>128</v>
      </c>
      <c r="E852" s="17">
        <v>4.0</v>
      </c>
    </row>
    <row r="853">
      <c r="A853" s="16" t="s">
        <v>979</v>
      </c>
      <c r="B853" s="30">
        <v>46044.00070474537</v>
      </c>
      <c r="C853" s="16" t="s">
        <v>127</v>
      </c>
      <c r="D853" s="23" t="s">
        <v>128</v>
      </c>
      <c r="E853" s="17">
        <v>4.0</v>
      </c>
    </row>
    <row r="854">
      <c r="A854" s="16" t="s">
        <v>980</v>
      </c>
      <c r="B854" s="30">
        <v>46044.00070474537</v>
      </c>
      <c r="C854" s="16" t="s">
        <v>127</v>
      </c>
      <c r="D854" s="23" t="s">
        <v>128</v>
      </c>
      <c r="E854" s="17">
        <v>4.0</v>
      </c>
    </row>
    <row r="855">
      <c r="A855" s="16" t="s">
        <v>981</v>
      </c>
      <c r="B855" s="30">
        <v>46044.00070474537</v>
      </c>
      <c r="C855" s="16" t="s">
        <v>127</v>
      </c>
      <c r="D855" s="23" t="s">
        <v>128</v>
      </c>
      <c r="E855" s="17">
        <v>4.0</v>
      </c>
    </row>
    <row r="856">
      <c r="A856" s="16" t="s">
        <v>982</v>
      </c>
      <c r="B856" s="30">
        <v>46044.00070474537</v>
      </c>
      <c r="C856" s="16" t="s">
        <v>127</v>
      </c>
      <c r="D856" s="23" t="s">
        <v>128</v>
      </c>
      <c r="E856" s="17">
        <v>4.0</v>
      </c>
    </row>
    <row r="857">
      <c r="A857" s="16" t="s">
        <v>983</v>
      </c>
      <c r="B857" s="30">
        <v>46044.00070474537</v>
      </c>
      <c r="C857" s="16" t="s">
        <v>127</v>
      </c>
      <c r="D857" s="23" t="s">
        <v>128</v>
      </c>
      <c r="E857" s="17">
        <v>4.0</v>
      </c>
    </row>
    <row r="858">
      <c r="A858" s="16" t="s">
        <v>984</v>
      </c>
      <c r="B858" s="30">
        <v>46044.00070474537</v>
      </c>
      <c r="C858" s="16" t="s">
        <v>127</v>
      </c>
      <c r="D858" s="23" t="s">
        <v>128</v>
      </c>
      <c r="E858" s="17">
        <v>4.0</v>
      </c>
    </row>
    <row r="859">
      <c r="A859" s="16" t="s">
        <v>985</v>
      </c>
      <c r="B859" s="30">
        <v>46044.00070474537</v>
      </c>
      <c r="C859" s="16" t="s">
        <v>127</v>
      </c>
      <c r="D859" s="23" t="s">
        <v>128</v>
      </c>
      <c r="E859" s="17">
        <v>4.0</v>
      </c>
    </row>
    <row r="860">
      <c r="A860" s="16" t="s">
        <v>986</v>
      </c>
      <c r="B860" s="30">
        <v>46044.00070474537</v>
      </c>
      <c r="C860" s="16" t="s">
        <v>127</v>
      </c>
      <c r="D860" s="23" t="s">
        <v>128</v>
      </c>
      <c r="E860" s="17">
        <v>4.0</v>
      </c>
    </row>
    <row r="861">
      <c r="A861" s="16" t="s">
        <v>987</v>
      </c>
      <c r="B861" s="30">
        <v>46044.00070474537</v>
      </c>
      <c r="C861" s="16" t="s">
        <v>127</v>
      </c>
      <c r="D861" s="23" t="s">
        <v>128</v>
      </c>
      <c r="E861" s="17">
        <v>4.0</v>
      </c>
    </row>
    <row r="862">
      <c r="A862" s="16" t="s">
        <v>988</v>
      </c>
      <c r="B862" s="30">
        <v>46044.00070474537</v>
      </c>
      <c r="C862" s="16" t="s">
        <v>127</v>
      </c>
      <c r="D862" s="23" t="s">
        <v>128</v>
      </c>
      <c r="E862" s="17">
        <v>4.0</v>
      </c>
    </row>
    <row r="863">
      <c r="A863" s="16" t="s">
        <v>989</v>
      </c>
      <c r="B863" s="30">
        <v>46044.00070474537</v>
      </c>
      <c r="C863" s="16" t="s">
        <v>127</v>
      </c>
      <c r="D863" s="23" t="s">
        <v>128</v>
      </c>
      <c r="E863" s="17">
        <v>4.0</v>
      </c>
    </row>
    <row r="864">
      <c r="A864" s="16" t="s">
        <v>990</v>
      </c>
      <c r="B864" s="30">
        <v>46044.00070474537</v>
      </c>
      <c r="C864" s="16" t="s">
        <v>127</v>
      </c>
      <c r="D864" s="23" t="s">
        <v>128</v>
      </c>
      <c r="E864" s="17">
        <v>4.0</v>
      </c>
    </row>
    <row r="865">
      <c r="A865" s="16" t="s">
        <v>991</v>
      </c>
      <c r="B865" s="30">
        <v>46044.00070474537</v>
      </c>
      <c r="C865" s="16" t="s">
        <v>127</v>
      </c>
      <c r="D865" s="23" t="s">
        <v>128</v>
      </c>
      <c r="E865" s="17">
        <v>4.0</v>
      </c>
    </row>
    <row r="866">
      <c r="A866" s="16" t="s">
        <v>992</v>
      </c>
      <c r="B866" s="30">
        <v>46044.00070474537</v>
      </c>
      <c r="C866" s="16" t="s">
        <v>127</v>
      </c>
      <c r="D866" s="23" t="s">
        <v>128</v>
      </c>
      <c r="E866" s="17">
        <v>4.0</v>
      </c>
    </row>
    <row r="867">
      <c r="A867" s="16" t="s">
        <v>993</v>
      </c>
      <c r="B867" s="30">
        <v>46044.00070474537</v>
      </c>
      <c r="C867" s="16" t="s">
        <v>127</v>
      </c>
      <c r="D867" s="23" t="s">
        <v>128</v>
      </c>
      <c r="E867" s="17">
        <v>4.0</v>
      </c>
    </row>
    <row r="868">
      <c r="A868" s="16" t="s">
        <v>994</v>
      </c>
      <c r="B868" s="30">
        <v>46044.00070474537</v>
      </c>
      <c r="C868" s="16" t="s">
        <v>127</v>
      </c>
      <c r="D868" s="23" t="s">
        <v>128</v>
      </c>
      <c r="E868" s="17">
        <v>4.0</v>
      </c>
    </row>
    <row r="869">
      <c r="A869" s="16" t="s">
        <v>995</v>
      </c>
      <c r="B869" s="30">
        <v>46044.00070474537</v>
      </c>
      <c r="C869" s="16" t="s">
        <v>127</v>
      </c>
      <c r="D869" s="23" t="s">
        <v>128</v>
      </c>
      <c r="E869" s="17">
        <v>4.0</v>
      </c>
    </row>
    <row r="870">
      <c r="A870" s="16" t="s">
        <v>996</v>
      </c>
      <c r="B870" s="30">
        <v>46044.00070474537</v>
      </c>
      <c r="C870" s="16" t="s">
        <v>127</v>
      </c>
      <c r="D870" s="23" t="s">
        <v>128</v>
      </c>
      <c r="E870" s="17">
        <v>4.0</v>
      </c>
    </row>
    <row r="871">
      <c r="A871" s="16" t="s">
        <v>997</v>
      </c>
      <c r="B871" s="30">
        <v>46044.00070474537</v>
      </c>
      <c r="C871" s="16" t="s">
        <v>127</v>
      </c>
      <c r="D871" s="23" t="s">
        <v>128</v>
      </c>
      <c r="E871" s="17">
        <v>4.0</v>
      </c>
    </row>
    <row r="872">
      <c r="A872" s="16" t="s">
        <v>998</v>
      </c>
      <c r="B872" s="30">
        <v>46044.00070474537</v>
      </c>
      <c r="C872" s="16" t="s">
        <v>127</v>
      </c>
      <c r="D872" s="23" t="s">
        <v>128</v>
      </c>
      <c r="E872" s="17">
        <v>4.0</v>
      </c>
    </row>
    <row r="873">
      <c r="A873" s="16" t="s">
        <v>999</v>
      </c>
      <c r="B873" s="30">
        <v>46044.00070474537</v>
      </c>
      <c r="C873" s="16" t="s">
        <v>127</v>
      </c>
      <c r="D873" s="23" t="s">
        <v>128</v>
      </c>
      <c r="E873" s="17">
        <v>4.0</v>
      </c>
    </row>
    <row r="874">
      <c r="A874" s="16" t="s">
        <v>1000</v>
      </c>
      <c r="B874" s="30">
        <v>46044.00070474537</v>
      </c>
      <c r="C874" s="16" t="s">
        <v>127</v>
      </c>
      <c r="D874" s="23" t="s">
        <v>128</v>
      </c>
      <c r="E874" s="17">
        <v>4.0</v>
      </c>
    </row>
    <row r="875">
      <c r="A875" s="16" t="s">
        <v>1001</v>
      </c>
      <c r="B875" s="30">
        <v>46044.00070474537</v>
      </c>
      <c r="C875" s="16" t="s">
        <v>127</v>
      </c>
      <c r="D875" s="23" t="s">
        <v>128</v>
      </c>
      <c r="E875" s="17">
        <v>4.0</v>
      </c>
    </row>
    <row r="876">
      <c r="A876" s="16" t="s">
        <v>1002</v>
      </c>
      <c r="B876" s="30">
        <v>46044.00070474537</v>
      </c>
      <c r="C876" s="16" t="s">
        <v>127</v>
      </c>
      <c r="D876" s="23" t="s">
        <v>128</v>
      </c>
      <c r="E876" s="17">
        <v>4.0</v>
      </c>
    </row>
    <row r="877">
      <c r="A877" s="16" t="s">
        <v>1003</v>
      </c>
      <c r="B877" s="30">
        <v>46044.00070474537</v>
      </c>
      <c r="C877" s="16" t="s">
        <v>127</v>
      </c>
      <c r="D877" s="23" t="s">
        <v>128</v>
      </c>
      <c r="E877" s="17">
        <v>4.0</v>
      </c>
    </row>
    <row r="878">
      <c r="A878" s="16" t="s">
        <v>1004</v>
      </c>
      <c r="B878" s="30">
        <v>46044.00070474537</v>
      </c>
      <c r="C878" s="16" t="s">
        <v>127</v>
      </c>
      <c r="D878" s="23" t="s">
        <v>128</v>
      </c>
      <c r="E878" s="17">
        <v>4.0</v>
      </c>
    </row>
    <row r="879">
      <c r="A879" s="16" t="s">
        <v>1005</v>
      </c>
      <c r="B879" s="30">
        <v>46044.00070474537</v>
      </c>
      <c r="C879" s="16" t="s">
        <v>127</v>
      </c>
      <c r="D879" s="23" t="s">
        <v>128</v>
      </c>
      <c r="E879" s="17">
        <v>4.0</v>
      </c>
    </row>
    <row r="880">
      <c r="A880" s="16" t="s">
        <v>1006</v>
      </c>
      <c r="B880" s="30">
        <v>46044.00070474537</v>
      </c>
      <c r="C880" s="16" t="s">
        <v>127</v>
      </c>
      <c r="D880" s="23" t="s">
        <v>128</v>
      </c>
      <c r="E880" s="17">
        <v>4.0</v>
      </c>
    </row>
    <row r="881">
      <c r="A881" s="16" t="s">
        <v>1007</v>
      </c>
      <c r="B881" s="30">
        <v>46044.00070474537</v>
      </c>
      <c r="C881" s="16" t="s">
        <v>127</v>
      </c>
      <c r="D881" s="23" t="s">
        <v>128</v>
      </c>
      <c r="E881" s="17">
        <v>4.0</v>
      </c>
    </row>
    <row r="882">
      <c r="A882" s="16" t="s">
        <v>1008</v>
      </c>
      <c r="B882" s="30">
        <v>46044.00070474537</v>
      </c>
      <c r="C882" s="16" t="s">
        <v>127</v>
      </c>
      <c r="D882" s="23" t="s">
        <v>128</v>
      </c>
      <c r="E882" s="17">
        <v>4.0</v>
      </c>
    </row>
    <row r="883">
      <c r="A883" s="16" t="s">
        <v>1009</v>
      </c>
      <c r="B883" s="30">
        <v>46044.00070474537</v>
      </c>
      <c r="C883" s="16" t="s">
        <v>127</v>
      </c>
      <c r="D883" s="23" t="s">
        <v>128</v>
      </c>
      <c r="E883" s="17">
        <v>4.0</v>
      </c>
    </row>
    <row r="884">
      <c r="A884" s="16" t="s">
        <v>1010</v>
      </c>
      <c r="B884" s="30">
        <v>46044.00070474537</v>
      </c>
      <c r="C884" s="16" t="s">
        <v>127</v>
      </c>
      <c r="D884" s="23" t="s">
        <v>128</v>
      </c>
      <c r="E884" s="17">
        <v>4.0</v>
      </c>
    </row>
    <row r="885">
      <c r="A885" s="16" t="s">
        <v>1011</v>
      </c>
      <c r="B885" s="30">
        <v>46044.00070474537</v>
      </c>
      <c r="C885" s="16" t="s">
        <v>127</v>
      </c>
      <c r="D885" s="23" t="s">
        <v>128</v>
      </c>
      <c r="E885" s="17">
        <v>4.0</v>
      </c>
    </row>
    <row r="886">
      <c r="A886" s="16" t="s">
        <v>1012</v>
      </c>
      <c r="B886" s="30">
        <v>46044.00070474537</v>
      </c>
      <c r="C886" s="16" t="s">
        <v>127</v>
      </c>
      <c r="D886" s="23" t="s">
        <v>128</v>
      </c>
      <c r="E886" s="17">
        <v>4.0</v>
      </c>
    </row>
    <row r="887">
      <c r="A887" s="16" t="s">
        <v>1013</v>
      </c>
      <c r="B887" s="30">
        <v>46044.00070474537</v>
      </c>
      <c r="C887" s="16" t="s">
        <v>127</v>
      </c>
      <c r="D887" s="23" t="s">
        <v>128</v>
      </c>
      <c r="E887" s="17">
        <v>4.0</v>
      </c>
    </row>
    <row r="888">
      <c r="A888" s="16" t="s">
        <v>1014</v>
      </c>
      <c r="B888" s="30">
        <v>46044.00070474537</v>
      </c>
      <c r="C888" s="16" t="s">
        <v>127</v>
      </c>
      <c r="D888" s="23" t="s">
        <v>128</v>
      </c>
      <c r="E888" s="17">
        <v>4.0</v>
      </c>
    </row>
    <row r="889">
      <c r="A889" s="16" t="s">
        <v>1015</v>
      </c>
      <c r="B889" s="30">
        <v>46044.00070474537</v>
      </c>
      <c r="C889" s="16" t="s">
        <v>127</v>
      </c>
      <c r="D889" s="23" t="s">
        <v>128</v>
      </c>
      <c r="E889" s="17">
        <v>4.0</v>
      </c>
    </row>
    <row r="890">
      <c r="A890" s="16" t="s">
        <v>1016</v>
      </c>
      <c r="B890" s="30">
        <v>46044.00070474537</v>
      </c>
      <c r="C890" s="16" t="s">
        <v>127</v>
      </c>
      <c r="D890" s="23" t="s">
        <v>128</v>
      </c>
      <c r="E890" s="17">
        <v>4.0</v>
      </c>
    </row>
    <row r="891">
      <c r="A891" s="16" t="s">
        <v>1017</v>
      </c>
      <c r="B891" s="30">
        <v>46044.00070474537</v>
      </c>
      <c r="C891" s="16" t="s">
        <v>127</v>
      </c>
      <c r="D891" s="23" t="s">
        <v>128</v>
      </c>
      <c r="E891" s="17">
        <v>4.0</v>
      </c>
    </row>
    <row r="892">
      <c r="A892" s="16" t="s">
        <v>1018</v>
      </c>
      <c r="B892" s="30">
        <v>46044.00070474537</v>
      </c>
      <c r="C892" s="16" t="s">
        <v>127</v>
      </c>
      <c r="D892" s="23" t="s">
        <v>128</v>
      </c>
      <c r="E892" s="17">
        <v>4.0</v>
      </c>
    </row>
    <row r="893">
      <c r="A893" s="16" t="s">
        <v>1019</v>
      </c>
      <c r="B893" s="30">
        <v>46044.00070474537</v>
      </c>
      <c r="C893" s="16" t="s">
        <v>127</v>
      </c>
      <c r="D893" s="23" t="s">
        <v>128</v>
      </c>
      <c r="E893" s="17">
        <v>4.0</v>
      </c>
    </row>
    <row r="894">
      <c r="A894" s="16" t="s">
        <v>1020</v>
      </c>
      <c r="B894" s="30">
        <v>46044.00070474537</v>
      </c>
      <c r="C894" s="16" t="s">
        <v>127</v>
      </c>
      <c r="D894" s="23" t="s">
        <v>128</v>
      </c>
      <c r="E894" s="17">
        <v>4.0</v>
      </c>
    </row>
    <row r="895">
      <c r="A895" s="16" t="s">
        <v>1021</v>
      </c>
      <c r="B895" s="30">
        <v>46044.00070474537</v>
      </c>
      <c r="C895" s="16" t="s">
        <v>127</v>
      </c>
      <c r="D895" s="23" t="s">
        <v>128</v>
      </c>
      <c r="E895" s="17">
        <v>4.0</v>
      </c>
    </row>
    <row r="896">
      <c r="A896" s="16" t="s">
        <v>1022</v>
      </c>
      <c r="B896" s="30">
        <v>46044.00070474537</v>
      </c>
      <c r="C896" s="16" t="s">
        <v>127</v>
      </c>
      <c r="D896" s="23" t="s">
        <v>128</v>
      </c>
      <c r="E896" s="17">
        <v>4.0</v>
      </c>
    </row>
    <row r="897">
      <c r="A897" s="16" t="s">
        <v>1023</v>
      </c>
      <c r="B897" s="30">
        <v>46044.00070474537</v>
      </c>
      <c r="C897" s="16" t="s">
        <v>127</v>
      </c>
      <c r="D897" s="23" t="s">
        <v>128</v>
      </c>
      <c r="E897" s="17">
        <v>4.0</v>
      </c>
    </row>
    <row r="898">
      <c r="A898" s="16" t="s">
        <v>1024</v>
      </c>
      <c r="B898" s="30">
        <v>46044.00070474537</v>
      </c>
      <c r="C898" s="16" t="s">
        <v>127</v>
      </c>
      <c r="D898" s="23" t="s">
        <v>128</v>
      </c>
      <c r="E898" s="17">
        <v>4.0</v>
      </c>
    </row>
    <row r="899">
      <c r="A899" s="16" t="s">
        <v>1025</v>
      </c>
      <c r="B899" s="30">
        <v>46044.00070474537</v>
      </c>
      <c r="C899" s="16" t="s">
        <v>127</v>
      </c>
      <c r="D899" s="23" t="s">
        <v>128</v>
      </c>
      <c r="E899" s="17">
        <v>4.0</v>
      </c>
    </row>
    <row r="900">
      <c r="A900" s="16" t="s">
        <v>1026</v>
      </c>
      <c r="B900" s="30">
        <v>46044.00070474537</v>
      </c>
      <c r="C900" s="16" t="s">
        <v>127</v>
      </c>
      <c r="D900" s="23" t="s">
        <v>128</v>
      </c>
      <c r="E900" s="17">
        <v>4.0</v>
      </c>
    </row>
    <row r="901">
      <c r="A901" s="16" t="s">
        <v>1027</v>
      </c>
      <c r="B901" s="30">
        <v>46044.00070474537</v>
      </c>
      <c r="C901" s="16" t="s">
        <v>127</v>
      </c>
      <c r="D901" s="23" t="s">
        <v>128</v>
      </c>
      <c r="E901" s="17">
        <v>4.0</v>
      </c>
    </row>
    <row r="902">
      <c r="A902" s="16" t="s">
        <v>1028</v>
      </c>
      <c r="B902" s="30">
        <v>46044.00070474537</v>
      </c>
      <c r="C902" s="16" t="s">
        <v>127</v>
      </c>
      <c r="D902" s="23" t="s">
        <v>128</v>
      </c>
      <c r="E902" s="17">
        <v>4.0</v>
      </c>
    </row>
    <row r="903">
      <c r="A903" s="16" t="s">
        <v>1029</v>
      </c>
      <c r="B903" s="30">
        <v>46044.00070474537</v>
      </c>
      <c r="C903" s="16" t="s">
        <v>127</v>
      </c>
      <c r="D903" s="23" t="s">
        <v>128</v>
      </c>
      <c r="E903" s="17">
        <v>4.0</v>
      </c>
    </row>
    <row r="904">
      <c r="A904" s="16" t="s">
        <v>1030</v>
      </c>
      <c r="B904" s="30">
        <v>46044.00070474537</v>
      </c>
      <c r="C904" s="16" t="s">
        <v>127</v>
      </c>
      <c r="D904" s="23" t="s">
        <v>128</v>
      </c>
      <c r="E904" s="17">
        <v>4.0</v>
      </c>
    </row>
    <row r="905">
      <c r="A905" s="16" t="s">
        <v>1031</v>
      </c>
      <c r="B905" s="30">
        <v>46044.00070474537</v>
      </c>
      <c r="C905" s="16" t="s">
        <v>127</v>
      </c>
      <c r="D905" s="23" t="s">
        <v>128</v>
      </c>
      <c r="E905" s="17">
        <v>4.0</v>
      </c>
    </row>
    <row r="906">
      <c r="A906" s="16" t="s">
        <v>1032</v>
      </c>
      <c r="B906" s="30">
        <v>46044.00070474537</v>
      </c>
      <c r="C906" s="16" t="s">
        <v>127</v>
      </c>
      <c r="D906" s="23" t="s">
        <v>128</v>
      </c>
      <c r="E906" s="17">
        <v>4.0</v>
      </c>
    </row>
    <row r="907">
      <c r="A907" s="16" t="s">
        <v>1033</v>
      </c>
      <c r="B907" s="30">
        <v>46044.00070474537</v>
      </c>
      <c r="C907" s="16" t="s">
        <v>127</v>
      </c>
      <c r="D907" s="23" t="s">
        <v>128</v>
      </c>
      <c r="E907" s="17">
        <v>4.0</v>
      </c>
    </row>
    <row r="908">
      <c r="A908" s="16" t="s">
        <v>1034</v>
      </c>
      <c r="B908" s="30">
        <v>46044.00070474537</v>
      </c>
      <c r="C908" s="16" t="s">
        <v>127</v>
      </c>
      <c r="D908" s="23" t="s">
        <v>128</v>
      </c>
      <c r="E908" s="17">
        <v>4.0</v>
      </c>
    </row>
    <row r="909">
      <c r="A909" s="16" t="s">
        <v>1035</v>
      </c>
      <c r="B909" s="30">
        <v>46044.00070474537</v>
      </c>
      <c r="C909" s="16" t="s">
        <v>127</v>
      </c>
      <c r="D909" s="23" t="s">
        <v>128</v>
      </c>
      <c r="E909" s="17">
        <v>4.0</v>
      </c>
    </row>
    <row r="910">
      <c r="A910" s="16" t="s">
        <v>1036</v>
      </c>
      <c r="B910" s="30">
        <v>46044.00070474537</v>
      </c>
      <c r="C910" s="16" t="s">
        <v>127</v>
      </c>
      <c r="D910" s="23" t="s">
        <v>128</v>
      </c>
      <c r="E910" s="17">
        <v>4.0</v>
      </c>
    </row>
    <row r="911">
      <c r="A911" s="16" t="s">
        <v>1037</v>
      </c>
      <c r="B911" s="30">
        <v>46044.00070474537</v>
      </c>
      <c r="C911" s="16" t="s">
        <v>127</v>
      </c>
      <c r="D911" s="23" t="s">
        <v>128</v>
      </c>
      <c r="E911" s="17">
        <v>4.0</v>
      </c>
    </row>
    <row r="912">
      <c r="A912" s="16" t="s">
        <v>1038</v>
      </c>
      <c r="B912" s="30">
        <v>46044.00070474537</v>
      </c>
      <c r="C912" s="16" t="s">
        <v>127</v>
      </c>
      <c r="D912" s="23" t="s">
        <v>128</v>
      </c>
      <c r="E912" s="17">
        <v>4.0</v>
      </c>
    </row>
    <row r="913">
      <c r="A913" s="16" t="s">
        <v>1039</v>
      </c>
      <c r="B913" s="30">
        <v>46044.00070474537</v>
      </c>
      <c r="C913" s="16" t="s">
        <v>127</v>
      </c>
      <c r="D913" s="23" t="s">
        <v>128</v>
      </c>
      <c r="E913" s="17">
        <v>4.0</v>
      </c>
    </row>
    <row r="914">
      <c r="A914" s="16" t="s">
        <v>1040</v>
      </c>
      <c r="B914" s="30">
        <v>46044.00070474537</v>
      </c>
      <c r="C914" s="16" t="s">
        <v>127</v>
      </c>
      <c r="D914" s="23" t="s">
        <v>128</v>
      </c>
      <c r="E914" s="17">
        <v>4.0</v>
      </c>
    </row>
    <row r="915">
      <c r="A915" s="16" t="s">
        <v>1041</v>
      </c>
      <c r="B915" s="30">
        <v>46044.00070474537</v>
      </c>
      <c r="C915" s="16" t="s">
        <v>127</v>
      </c>
      <c r="D915" s="23" t="s">
        <v>128</v>
      </c>
      <c r="E915" s="17">
        <v>4.0</v>
      </c>
    </row>
    <row r="916">
      <c r="A916" s="16" t="s">
        <v>1042</v>
      </c>
      <c r="B916" s="30">
        <v>46044.00070474537</v>
      </c>
      <c r="C916" s="16" t="s">
        <v>127</v>
      </c>
      <c r="D916" s="23" t="s">
        <v>128</v>
      </c>
      <c r="E916" s="17">
        <v>4.0</v>
      </c>
    </row>
    <row r="917">
      <c r="A917" s="16" t="s">
        <v>1043</v>
      </c>
      <c r="B917" s="30">
        <v>46044.00070474537</v>
      </c>
      <c r="C917" s="16" t="s">
        <v>127</v>
      </c>
      <c r="D917" s="23" t="s">
        <v>128</v>
      </c>
      <c r="E917" s="17">
        <v>4.0</v>
      </c>
    </row>
    <row r="918">
      <c r="A918" s="16" t="s">
        <v>1044</v>
      </c>
      <c r="B918" s="30">
        <v>46044.00070474537</v>
      </c>
      <c r="C918" s="16" t="s">
        <v>127</v>
      </c>
      <c r="D918" s="23" t="s">
        <v>128</v>
      </c>
      <c r="E918" s="17">
        <v>4.0</v>
      </c>
    </row>
    <row r="919">
      <c r="A919" s="16" t="s">
        <v>1045</v>
      </c>
      <c r="B919" s="30">
        <v>46044.00070474537</v>
      </c>
      <c r="C919" s="16" t="s">
        <v>127</v>
      </c>
      <c r="D919" s="23" t="s">
        <v>128</v>
      </c>
      <c r="E919" s="17">
        <v>4.0</v>
      </c>
    </row>
    <row r="920">
      <c r="A920" s="16" t="s">
        <v>1046</v>
      </c>
      <c r="B920" s="30">
        <v>46044.00070474537</v>
      </c>
      <c r="C920" s="16" t="s">
        <v>127</v>
      </c>
      <c r="D920" s="23" t="s">
        <v>128</v>
      </c>
      <c r="E920" s="17">
        <v>4.0</v>
      </c>
    </row>
    <row r="921">
      <c r="A921" s="16" t="s">
        <v>1047</v>
      </c>
      <c r="B921" s="30">
        <v>46044.00070474537</v>
      </c>
      <c r="C921" s="16" t="s">
        <v>127</v>
      </c>
      <c r="D921" s="23" t="s">
        <v>128</v>
      </c>
      <c r="E921" s="17">
        <v>4.0</v>
      </c>
    </row>
    <row r="922">
      <c r="A922" s="16" t="s">
        <v>1048</v>
      </c>
      <c r="B922" s="30">
        <v>46044.00070474537</v>
      </c>
      <c r="C922" s="16" t="s">
        <v>127</v>
      </c>
      <c r="D922" s="23" t="s">
        <v>128</v>
      </c>
      <c r="E922" s="17">
        <v>4.0</v>
      </c>
    </row>
    <row r="923">
      <c r="A923" s="16" t="s">
        <v>1049</v>
      </c>
      <c r="B923" s="30">
        <v>46044.00070474537</v>
      </c>
      <c r="C923" s="16" t="s">
        <v>127</v>
      </c>
      <c r="D923" s="23" t="s">
        <v>128</v>
      </c>
      <c r="E923" s="17">
        <v>4.0</v>
      </c>
    </row>
    <row r="924">
      <c r="A924" s="16" t="s">
        <v>1050</v>
      </c>
      <c r="B924" s="30">
        <v>46044.00070474537</v>
      </c>
      <c r="C924" s="16" t="s">
        <v>127</v>
      </c>
      <c r="D924" s="23" t="s">
        <v>128</v>
      </c>
      <c r="E924" s="17">
        <v>4.0</v>
      </c>
    </row>
    <row r="925">
      <c r="A925" s="16" t="s">
        <v>1051</v>
      </c>
      <c r="B925" s="30">
        <v>46044.00070474537</v>
      </c>
      <c r="C925" s="16" t="s">
        <v>127</v>
      </c>
      <c r="D925" s="23" t="s">
        <v>128</v>
      </c>
      <c r="E925" s="17">
        <v>4.0</v>
      </c>
    </row>
    <row r="926">
      <c r="A926" s="16" t="s">
        <v>1052</v>
      </c>
      <c r="B926" s="30">
        <v>46044.00070474537</v>
      </c>
      <c r="C926" s="16" t="s">
        <v>127</v>
      </c>
      <c r="D926" s="23" t="s">
        <v>128</v>
      </c>
      <c r="E926" s="17">
        <v>4.0</v>
      </c>
    </row>
    <row r="927">
      <c r="A927" s="16" t="s">
        <v>1053</v>
      </c>
      <c r="B927" s="30">
        <v>46044.00070474537</v>
      </c>
      <c r="C927" s="16" t="s">
        <v>127</v>
      </c>
      <c r="D927" s="23" t="s">
        <v>128</v>
      </c>
      <c r="E927" s="17">
        <v>4.0</v>
      </c>
    </row>
    <row r="928">
      <c r="A928" s="16" t="s">
        <v>1054</v>
      </c>
      <c r="B928" s="30">
        <v>46044.00070474537</v>
      </c>
      <c r="C928" s="16" t="s">
        <v>127</v>
      </c>
      <c r="D928" s="23" t="s">
        <v>128</v>
      </c>
      <c r="E928" s="17">
        <v>4.0</v>
      </c>
    </row>
    <row r="929">
      <c r="A929" s="16" t="s">
        <v>1055</v>
      </c>
      <c r="B929" s="30">
        <v>46044.00070474537</v>
      </c>
      <c r="C929" s="16" t="s">
        <v>127</v>
      </c>
      <c r="D929" s="23" t="s">
        <v>128</v>
      </c>
      <c r="E929" s="17">
        <v>4.0</v>
      </c>
    </row>
    <row r="930">
      <c r="A930" s="16" t="s">
        <v>1056</v>
      </c>
      <c r="B930" s="30">
        <v>46044.00070474537</v>
      </c>
      <c r="C930" s="16" t="s">
        <v>127</v>
      </c>
      <c r="D930" s="23" t="s">
        <v>128</v>
      </c>
      <c r="E930" s="17">
        <v>4.0</v>
      </c>
    </row>
    <row r="931">
      <c r="A931" s="16" t="s">
        <v>1057</v>
      </c>
      <c r="B931" s="30">
        <v>46044.00070474537</v>
      </c>
      <c r="C931" s="16" t="s">
        <v>127</v>
      </c>
      <c r="D931" s="23" t="s">
        <v>128</v>
      </c>
      <c r="E931" s="17">
        <v>4.0</v>
      </c>
    </row>
    <row r="932">
      <c r="A932" s="16" t="s">
        <v>1058</v>
      </c>
      <c r="B932" s="30">
        <v>46044.00070474537</v>
      </c>
      <c r="C932" s="16" t="s">
        <v>127</v>
      </c>
      <c r="D932" s="23" t="s">
        <v>128</v>
      </c>
      <c r="E932" s="17">
        <v>4.0</v>
      </c>
    </row>
    <row r="933">
      <c r="A933" s="16" t="s">
        <v>1059</v>
      </c>
      <c r="B933" s="30">
        <v>46044.00070474537</v>
      </c>
      <c r="C933" s="16" t="s">
        <v>127</v>
      </c>
      <c r="D933" s="23" t="s">
        <v>128</v>
      </c>
      <c r="E933" s="17">
        <v>4.0</v>
      </c>
    </row>
    <row r="934">
      <c r="A934" s="16" t="s">
        <v>1060</v>
      </c>
      <c r="B934" s="30">
        <v>46044.00070474537</v>
      </c>
      <c r="C934" s="16" t="s">
        <v>127</v>
      </c>
      <c r="D934" s="23" t="s">
        <v>128</v>
      </c>
      <c r="E934" s="17">
        <v>4.0</v>
      </c>
    </row>
    <row r="935">
      <c r="A935" s="16" t="s">
        <v>1061</v>
      </c>
      <c r="B935" s="30">
        <v>46044.00070474537</v>
      </c>
      <c r="C935" s="16" t="s">
        <v>127</v>
      </c>
      <c r="D935" s="23" t="s">
        <v>128</v>
      </c>
      <c r="E935" s="17">
        <v>4.0</v>
      </c>
    </row>
    <row r="936">
      <c r="A936" s="16" t="s">
        <v>1062</v>
      </c>
      <c r="B936" s="30">
        <v>46044.00070474537</v>
      </c>
      <c r="C936" s="16" t="s">
        <v>127</v>
      </c>
      <c r="D936" s="23" t="s">
        <v>128</v>
      </c>
      <c r="E936" s="17">
        <v>4.0</v>
      </c>
    </row>
    <row r="937">
      <c r="A937" s="16" t="s">
        <v>1063</v>
      </c>
      <c r="B937" s="30">
        <v>46044.00070474537</v>
      </c>
      <c r="C937" s="16" t="s">
        <v>127</v>
      </c>
      <c r="D937" s="23" t="s">
        <v>128</v>
      </c>
      <c r="E937" s="17">
        <v>4.0</v>
      </c>
    </row>
    <row r="938">
      <c r="A938" s="16" t="s">
        <v>1064</v>
      </c>
      <c r="B938" s="30">
        <v>46044.00070474537</v>
      </c>
      <c r="C938" s="16" t="s">
        <v>127</v>
      </c>
      <c r="D938" s="23" t="s">
        <v>128</v>
      </c>
      <c r="E938" s="17">
        <v>4.0</v>
      </c>
    </row>
    <row r="939">
      <c r="A939" s="16" t="s">
        <v>1065</v>
      </c>
      <c r="B939" s="30">
        <v>46044.00070474537</v>
      </c>
      <c r="C939" s="16" t="s">
        <v>127</v>
      </c>
      <c r="D939" s="23" t="s">
        <v>128</v>
      </c>
      <c r="E939" s="17">
        <v>4.0</v>
      </c>
    </row>
    <row r="940">
      <c r="A940" s="16" t="s">
        <v>1066</v>
      </c>
      <c r="B940" s="30">
        <v>46044.00070474537</v>
      </c>
      <c r="C940" s="16" t="s">
        <v>127</v>
      </c>
      <c r="D940" s="23" t="s">
        <v>128</v>
      </c>
      <c r="E940" s="17">
        <v>4.0</v>
      </c>
    </row>
    <row r="941">
      <c r="A941" s="16" t="s">
        <v>1067</v>
      </c>
      <c r="B941" s="30">
        <v>46044.00070474537</v>
      </c>
      <c r="C941" s="16" t="s">
        <v>127</v>
      </c>
      <c r="D941" s="23" t="s">
        <v>128</v>
      </c>
      <c r="E941" s="17">
        <v>4.0</v>
      </c>
    </row>
    <row r="942">
      <c r="A942" s="16" t="s">
        <v>1068</v>
      </c>
      <c r="B942" s="30">
        <v>46044.00070474537</v>
      </c>
      <c r="C942" s="16" t="s">
        <v>127</v>
      </c>
      <c r="D942" s="23" t="s">
        <v>128</v>
      </c>
      <c r="E942" s="17">
        <v>4.0</v>
      </c>
    </row>
    <row r="943">
      <c r="A943" s="16" t="s">
        <v>1069</v>
      </c>
      <c r="B943" s="30">
        <v>46044.00070474537</v>
      </c>
      <c r="C943" s="16" t="s">
        <v>127</v>
      </c>
      <c r="D943" s="23" t="s">
        <v>128</v>
      </c>
      <c r="E943" s="17">
        <v>4.0</v>
      </c>
    </row>
    <row r="944">
      <c r="A944" s="16" t="s">
        <v>1070</v>
      </c>
      <c r="B944" s="30">
        <v>46044.00070474537</v>
      </c>
      <c r="C944" s="16" t="s">
        <v>127</v>
      </c>
      <c r="D944" s="23" t="s">
        <v>128</v>
      </c>
      <c r="E944" s="17">
        <v>4.0</v>
      </c>
    </row>
    <row r="945">
      <c r="A945" s="16" t="s">
        <v>1071</v>
      </c>
      <c r="B945" s="30">
        <v>46044.00070474537</v>
      </c>
      <c r="C945" s="16" t="s">
        <v>127</v>
      </c>
      <c r="D945" s="23" t="s">
        <v>128</v>
      </c>
      <c r="E945" s="17">
        <v>4.0</v>
      </c>
    </row>
    <row r="946">
      <c r="A946" s="16" t="s">
        <v>1072</v>
      </c>
      <c r="B946" s="30">
        <v>46044.00070474537</v>
      </c>
      <c r="C946" s="16" t="s">
        <v>127</v>
      </c>
      <c r="D946" s="23" t="s">
        <v>128</v>
      </c>
      <c r="E946" s="17">
        <v>4.0</v>
      </c>
    </row>
    <row r="947">
      <c r="A947" s="16" t="s">
        <v>1073</v>
      </c>
      <c r="B947" s="30">
        <v>46044.00070474537</v>
      </c>
      <c r="C947" s="16" t="s">
        <v>127</v>
      </c>
      <c r="D947" s="23" t="s">
        <v>128</v>
      </c>
      <c r="E947" s="17">
        <v>4.0</v>
      </c>
    </row>
    <row r="948">
      <c r="A948" s="16" t="s">
        <v>1074</v>
      </c>
      <c r="B948" s="30">
        <v>46044.00070474537</v>
      </c>
      <c r="C948" s="16" t="s">
        <v>127</v>
      </c>
      <c r="D948" s="23" t="s">
        <v>128</v>
      </c>
      <c r="E948" s="17">
        <v>4.0</v>
      </c>
    </row>
    <row r="949">
      <c r="A949" s="16" t="s">
        <v>1075</v>
      </c>
      <c r="B949" s="30">
        <v>46044.00070474537</v>
      </c>
      <c r="C949" s="16" t="s">
        <v>127</v>
      </c>
      <c r="D949" s="23" t="s">
        <v>128</v>
      </c>
      <c r="E949" s="17">
        <v>4.0</v>
      </c>
    </row>
    <row r="950">
      <c r="A950" s="16" t="s">
        <v>1076</v>
      </c>
      <c r="B950" s="30">
        <v>46044.00070474537</v>
      </c>
      <c r="C950" s="16" t="s">
        <v>127</v>
      </c>
      <c r="D950" s="23" t="s">
        <v>128</v>
      </c>
      <c r="E950" s="17">
        <v>4.0</v>
      </c>
    </row>
    <row r="951">
      <c r="A951" s="16" t="s">
        <v>1077</v>
      </c>
      <c r="B951" s="30">
        <v>46044.00070474537</v>
      </c>
      <c r="C951" s="16" t="s">
        <v>127</v>
      </c>
      <c r="D951" s="23" t="s">
        <v>128</v>
      </c>
      <c r="E951" s="17">
        <v>4.0</v>
      </c>
    </row>
    <row r="952">
      <c r="A952" s="16" t="s">
        <v>1078</v>
      </c>
      <c r="B952" s="30">
        <v>46044.00070474537</v>
      </c>
      <c r="C952" s="16" t="s">
        <v>127</v>
      </c>
      <c r="D952" s="23" t="s">
        <v>128</v>
      </c>
      <c r="E952" s="17">
        <v>4.0</v>
      </c>
    </row>
    <row r="953">
      <c r="A953" s="16" t="s">
        <v>1079</v>
      </c>
      <c r="B953" s="30">
        <v>46044.00070474537</v>
      </c>
      <c r="C953" s="16" t="s">
        <v>127</v>
      </c>
      <c r="D953" s="23" t="s">
        <v>128</v>
      </c>
      <c r="E953" s="17">
        <v>4.0</v>
      </c>
    </row>
    <row r="954">
      <c r="A954" s="16" t="s">
        <v>1080</v>
      </c>
      <c r="B954" s="30">
        <v>46044.00070474537</v>
      </c>
      <c r="C954" s="16" t="s">
        <v>127</v>
      </c>
      <c r="D954" s="23" t="s">
        <v>128</v>
      </c>
      <c r="E954" s="17">
        <v>4.0</v>
      </c>
    </row>
    <row r="955">
      <c r="A955" s="16" t="s">
        <v>1081</v>
      </c>
      <c r="B955" s="30">
        <v>46044.00070474537</v>
      </c>
      <c r="C955" s="16" t="s">
        <v>127</v>
      </c>
      <c r="D955" s="23" t="s">
        <v>128</v>
      </c>
      <c r="E955" s="17">
        <v>4.0</v>
      </c>
    </row>
    <row r="956">
      <c r="A956" s="16" t="s">
        <v>1082</v>
      </c>
      <c r="B956" s="30">
        <v>46044.00070474537</v>
      </c>
      <c r="C956" s="16" t="s">
        <v>127</v>
      </c>
      <c r="D956" s="23" t="s">
        <v>128</v>
      </c>
      <c r="E956" s="17">
        <v>4.0</v>
      </c>
    </row>
    <row r="957">
      <c r="A957" s="16" t="s">
        <v>1083</v>
      </c>
      <c r="B957" s="30">
        <v>46044.00070474537</v>
      </c>
      <c r="C957" s="16" t="s">
        <v>127</v>
      </c>
      <c r="D957" s="23" t="s">
        <v>128</v>
      </c>
      <c r="E957" s="17">
        <v>4.0</v>
      </c>
    </row>
    <row r="958">
      <c r="A958" s="16" t="s">
        <v>1084</v>
      </c>
      <c r="B958" s="30">
        <v>46044.00070474537</v>
      </c>
      <c r="C958" s="16" t="s">
        <v>127</v>
      </c>
      <c r="D958" s="23" t="s">
        <v>128</v>
      </c>
      <c r="E958" s="17">
        <v>4.0</v>
      </c>
    </row>
    <row r="959">
      <c r="A959" s="16" t="s">
        <v>1085</v>
      </c>
      <c r="B959" s="30">
        <v>46044.00070474537</v>
      </c>
      <c r="C959" s="16" t="s">
        <v>127</v>
      </c>
      <c r="D959" s="23" t="s">
        <v>128</v>
      </c>
      <c r="E959" s="17">
        <v>4.0</v>
      </c>
    </row>
    <row r="960">
      <c r="A960" s="16" t="s">
        <v>1086</v>
      </c>
      <c r="B960" s="30">
        <v>46044.00070474537</v>
      </c>
      <c r="C960" s="16" t="s">
        <v>127</v>
      </c>
      <c r="D960" s="23" t="s">
        <v>128</v>
      </c>
      <c r="E960" s="17">
        <v>4.0</v>
      </c>
    </row>
    <row r="961">
      <c r="A961" s="16" t="s">
        <v>1087</v>
      </c>
      <c r="B961" s="30">
        <v>46044.00070474537</v>
      </c>
      <c r="C961" s="16" t="s">
        <v>127</v>
      </c>
      <c r="D961" s="23" t="s">
        <v>128</v>
      </c>
      <c r="E961" s="17">
        <v>4.0</v>
      </c>
    </row>
    <row r="962">
      <c r="A962" s="16" t="s">
        <v>1088</v>
      </c>
      <c r="B962" s="30">
        <v>46044.00070474537</v>
      </c>
      <c r="C962" s="16" t="s">
        <v>127</v>
      </c>
      <c r="D962" s="23" t="s">
        <v>128</v>
      </c>
      <c r="E962" s="17">
        <v>4.0</v>
      </c>
    </row>
    <row r="963">
      <c r="A963" s="16" t="s">
        <v>1089</v>
      </c>
      <c r="B963" s="30">
        <v>46044.00070474537</v>
      </c>
      <c r="C963" s="16" t="s">
        <v>127</v>
      </c>
      <c r="D963" s="23" t="s">
        <v>128</v>
      </c>
      <c r="E963" s="17">
        <v>4.0</v>
      </c>
    </row>
    <row r="964">
      <c r="A964" s="16" t="s">
        <v>1090</v>
      </c>
      <c r="B964" s="30">
        <v>46044.00070474537</v>
      </c>
      <c r="C964" s="16" t="s">
        <v>127</v>
      </c>
      <c r="D964" s="23" t="s">
        <v>128</v>
      </c>
      <c r="E964" s="17">
        <v>4.0</v>
      </c>
    </row>
    <row r="965">
      <c r="A965" s="16" t="s">
        <v>1091</v>
      </c>
      <c r="B965" s="30">
        <v>46044.00070474537</v>
      </c>
      <c r="C965" s="16" t="s">
        <v>127</v>
      </c>
      <c r="D965" s="23" t="s">
        <v>128</v>
      </c>
      <c r="E965" s="17">
        <v>4.0</v>
      </c>
    </row>
    <row r="966">
      <c r="A966" s="16" t="s">
        <v>1092</v>
      </c>
      <c r="B966" s="30">
        <v>46044.00070474537</v>
      </c>
      <c r="C966" s="16" t="s">
        <v>127</v>
      </c>
      <c r="D966" s="23" t="s">
        <v>128</v>
      </c>
      <c r="E966" s="17">
        <v>4.0</v>
      </c>
    </row>
    <row r="967">
      <c r="A967" s="16" t="s">
        <v>1093</v>
      </c>
      <c r="B967" s="30">
        <v>46044.00070474537</v>
      </c>
      <c r="C967" s="16" t="s">
        <v>127</v>
      </c>
      <c r="D967" s="23" t="s">
        <v>128</v>
      </c>
      <c r="E967" s="17">
        <v>4.0</v>
      </c>
    </row>
    <row r="968">
      <c r="A968" s="16" t="s">
        <v>1094</v>
      </c>
      <c r="B968" s="30">
        <v>46044.00070474537</v>
      </c>
      <c r="C968" s="16" t="s">
        <v>127</v>
      </c>
      <c r="D968" s="23" t="s">
        <v>128</v>
      </c>
      <c r="E968" s="17">
        <v>4.0</v>
      </c>
    </row>
    <row r="969">
      <c r="A969" s="16" t="s">
        <v>1095</v>
      </c>
      <c r="B969" s="30">
        <v>46044.00070474537</v>
      </c>
      <c r="C969" s="16" t="s">
        <v>127</v>
      </c>
      <c r="D969" s="23" t="s">
        <v>128</v>
      </c>
      <c r="E969" s="17">
        <v>4.0</v>
      </c>
    </row>
    <row r="970">
      <c r="A970" s="16" t="s">
        <v>1096</v>
      </c>
      <c r="B970" s="30">
        <v>46044.00070474537</v>
      </c>
      <c r="C970" s="16" t="s">
        <v>127</v>
      </c>
      <c r="D970" s="23" t="s">
        <v>128</v>
      </c>
      <c r="E970" s="17">
        <v>4.0</v>
      </c>
    </row>
    <row r="971">
      <c r="A971" s="16" t="s">
        <v>1097</v>
      </c>
      <c r="B971" s="30">
        <v>46044.00070474537</v>
      </c>
      <c r="C971" s="16" t="s">
        <v>127</v>
      </c>
      <c r="D971" s="23" t="s">
        <v>128</v>
      </c>
      <c r="E971" s="17">
        <v>4.0</v>
      </c>
    </row>
    <row r="972">
      <c r="A972" s="16" t="s">
        <v>1098</v>
      </c>
      <c r="B972" s="30">
        <v>46044.00070474537</v>
      </c>
      <c r="C972" s="16" t="s">
        <v>127</v>
      </c>
      <c r="D972" s="23" t="s">
        <v>128</v>
      </c>
      <c r="E972" s="17">
        <v>4.0</v>
      </c>
    </row>
    <row r="973">
      <c r="A973" s="16" t="s">
        <v>1099</v>
      </c>
      <c r="B973" s="30">
        <v>46044.00070474537</v>
      </c>
      <c r="C973" s="16" t="s">
        <v>127</v>
      </c>
      <c r="D973" s="23" t="s">
        <v>128</v>
      </c>
      <c r="E973" s="17">
        <v>4.0</v>
      </c>
    </row>
    <row r="974">
      <c r="A974" s="16" t="s">
        <v>1100</v>
      </c>
      <c r="B974" s="30">
        <v>46044.00070474537</v>
      </c>
      <c r="C974" s="16" t="s">
        <v>127</v>
      </c>
      <c r="D974" s="23" t="s">
        <v>128</v>
      </c>
      <c r="E974" s="17">
        <v>4.0</v>
      </c>
    </row>
    <row r="975">
      <c r="A975" s="16" t="s">
        <v>1101</v>
      </c>
      <c r="B975" s="30">
        <v>46044.00070474537</v>
      </c>
      <c r="C975" s="16" t="s">
        <v>127</v>
      </c>
      <c r="D975" s="23" t="s">
        <v>128</v>
      </c>
      <c r="E975" s="17">
        <v>4.0</v>
      </c>
    </row>
    <row r="976">
      <c r="A976" s="16" t="s">
        <v>1102</v>
      </c>
      <c r="B976" s="30">
        <v>46044.00070474537</v>
      </c>
      <c r="C976" s="16" t="s">
        <v>127</v>
      </c>
      <c r="D976" s="23" t="s">
        <v>128</v>
      </c>
      <c r="E976" s="17">
        <v>4.0</v>
      </c>
    </row>
    <row r="977">
      <c r="A977" s="16" t="s">
        <v>1103</v>
      </c>
      <c r="B977" s="30">
        <v>46044.00070474537</v>
      </c>
      <c r="C977" s="16" t="s">
        <v>127</v>
      </c>
      <c r="D977" s="23" t="s">
        <v>128</v>
      </c>
      <c r="E977" s="17">
        <v>4.0</v>
      </c>
    </row>
    <row r="978">
      <c r="A978" s="16" t="s">
        <v>1104</v>
      </c>
      <c r="B978" s="30">
        <v>46044.00070474537</v>
      </c>
      <c r="C978" s="16" t="s">
        <v>127</v>
      </c>
      <c r="D978" s="23" t="s">
        <v>128</v>
      </c>
      <c r="E978" s="17">
        <v>4.0</v>
      </c>
    </row>
    <row r="979">
      <c r="A979" s="16" t="s">
        <v>1105</v>
      </c>
      <c r="B979" s="30">
        <v>46044.00070474537</v>
      </c>
      <c r="C979" s="16" t="s">
        <v>127</v>
      </c>
      <c r="D979" s="23" t="s">
        <v>128</v>
      </c>
      <c r="E979" s="17">
        <v>4.0</v>
      </c>
    </row>
    <row r="980">
      <c r="A980" s="16" t="s">
        <v>1106</v>
      </c>
      <c r="B980" s="30">
        <v>46044.00070474537</v>
      </c>
      <c r="C980" s="16" t="s">
        <v>127</v>
      </c>
      <c r="D980" s="23" t="s">
        <v>128</v>
      </c>
      <c r="E980" s="17">
        <v>4.0</v>
      </c>
    </row>
    <row r="981">
      <c r="A981" s="16" t="s">
        <v>1107</v>
      </c>
      <c r="B981" s="30">
        <v>46044.00070474537</v>
      </c>
      <c r="C981" s="16" t="s">
        <v>127</v>
      </c>
      <c r="D981" s="23" t="s">
        <v>128</v>
      </c>
      <c r="E981" s="17">
        <v>4.0</v>
      </c>
    </row>
    <row r="982">
      <c r="A982" s="16" t="s">
        <v>1108</v>
      </c>
      <c r="B982" s="30">
        <v>46044.00070474537</v>
      </c>
      <c r="C982" s="16" t="s">
        <v>127</v>
      </c>
      <c r="D982" s="23" t="s">
        <v>128</v>
      </c>
      <c r="E982" s="17">
        <v>4.0</v>
      </c>
    </row>
    <row r="983">
      <c r="A983" s="16" t="s">
        <v>1109</v>
      </c>
      <c r="B983" s="30">
        <v>46044.00070474537</v>
      </c>
      <c r="C983" s="16" t="s">
        <v>127</v>
      </c>
      <c r="D983" s="23" t="s">
        <v>128</v>
      </c>
      <c r="E983" s="17">
        <v>4.0</v>
      </c>
    </row>
    <row r="984">
      <c r="A984" s="16" t="s">
        <v>1110</v>
      </c>
      <c r="B984" s="30">
        <v>46044.00070474537</v>
      </c>
      <c r="C984" s="16" t="s">
        <v>127</v>
      </c>
      <c r="D984" s="23" t="s">
        <v>128</v>
      </c>
      <c r="E984" s="17">
        <v>4.0</v>
      </c>
    </row>
    <row r="985">
      <c r="A985" s="16" t="s">
        <v>1111</v>
      </c>
      <c r="B985" s="30">
        <v>46044.00070474537</v>
      </c>
      <c r="C985" s="16" t="s">
        <v>127</v>
      </c>
      <c r="D985" s="23" t="s">
        <v>128</v>
      </c>
      <c r="E985" s="17">
        <v>4.0</v>
      </c>
    </row>
    <row r="986">
      <c r="A986" s="16" t="s">
        <v>1112</v>
      </c>
      <c r="B986" s="30">
        <v>46044.00070474537</v>
      </c>
      <c r="C986" s="16" t="s">
        <v>127</v>
      </c>
      <c r="D986" s="23" t="s">
        <v>128</v>
      </c>
      <c r="E986" s="17">
        <v>4.0</v>
      </c>
    </row>
    <row r="987">
      <c r="A987" s="16" t="s">
        <v>1113</v>
      </c>
      <c r="B987" s="30">
        <v>46044.00070474537</v>
      </c>
      <c r="C987" s="16" t="s">
        <v>127</v>
      </c>
      <c r="D987" s="23" t="s">
        <v>128</v>
      </c>
      <c r="E987" s="17">
        <v>4.0</v>
      </c>
    </row>
    <row r="988">
      <c r="A988" s="16" t="s">
        <v>1114</v>
      </c>
      <c r="B988" s="30">
        <v>46044.00070474537</v>
      </c>
      <c r="C988" s="16" t="s">
        <v>127</v>
      </c>
      <c r="D988" s="23" t="s">
        <v>128</v>
      </c>
      <c r="E988" s="17">
        <v>4.0</v>
      </c>
    </row>
    <row r="989">
      <c r="A989" s="16" t="s">
        <v>1115</v>
      </c>
      <c r="B989" s="30">
        <v>46044.00070474537</v>
      </c>
      <c r="C989" s="16" t="s">
        <v>127</v>
      </c>
      <c r="D989" s="23" t="s">
        <v>128</v>
      </c>
      <c r="E989" s="17">
        <v>4.0</v>
      </c>
    </row>
    <row r="990">
      <c r="A990" s="16" t="s">
        <v>1116</v>
      </c>
      <c r="B990" s="30">
        <v>46044.00070474537</v>
      </c>
      <c r="C990" s="16" t="s">
        <v>127</v>
      </c>
      <c r="D990" s="23" t="s">
        <v>128</v>
      </c>
      <c r="E990" s="17">
        <v>4.0</v>
      </c>
    </row>
    <row r="991">
      <c r="A991" s="16" t="s">
        <v>1117</v>
      </c>
      <c r="B991" s="30">
        <v>46044.00070474537</v>
      </c>
      <c r="C991" s="16" t="s">
        <v>127</v>
      </c>
      <c r="D991" s="23" t="s">
        <v>128</v>
      </c>
      <c r="E991" s="17">
        <v>4.0</v>
      </c>
    </row>
    <row r="992">
      <c r="A992" s="16" t="s">
        <v>1118</v>
      </c>
      <c r="B992" s="30">
        <v>46044.00070474537</v>
      </c>
      <c r="C992" s="16" t="s">
        <v>127</v>
      </c>
      <c r="D992" s="23" t="s">
        <v>128</v>
      </c>
      <c r="E992" s="17">
        <v>4.0</v>
      </c>
    </row>
    <row r="993">
      <c r="A993" s="16" t="s">
        <v>1119</v>
      </c>
      <c r="B993" s="30">
        <v>46044.00070474537</v>
      </c>
      <c r="C993" s="16" t="s">
        <v>127</v>
      </c>
      <c r="D993" s="23" t="s">
        <v>128</v>
      </c>
      <c r="E993" s="17">
        <v>4.0</v>
      </c>
    </row>
    <row r="994">
      <c r="A994" s="16" t="s">
        <v>1120</v>
      </c>
      <c r="B994" s="30">
        <v>46044.00070474537</v>
      </c>
      <c r="C994" s="16" t="s">
        <v>127</v>
      </c>
      <c r="D994" s="23" t="s">
        <v>128</v>
      </c>
      <c r="E994" s="17">
        <v>4.0</v>
      </c>
    </row>
    <row r="995">
      <c r="A995" s="16" t="s">
        <v>1121</v>
      </c>
      <c r="B995" s="30">
        <v>46044.00070474537</v>
      </c>
      <c r="C995" s="16" t="s">
        <v>127</v>
      </c>
      <c r="D995" s="23" t="s">
        <v>128</v>
      </c>
      <c r="E995" s="17">
        <v>4.0</v>
      </c>
    </row>
    <row r="996">
      <c r="A996" s="16" t="s">
        <v>1122</v>
      </c>
      <c r="B996" s="30">
        <v>46044.000704756945</v>
      </c>
      <c r="C996" s="16" t="s">
        <v>127</v>
      </c>
      <c r="D996" s="23" t="s">
        <v>128</v>
      </c>
      <c r="E996" s="17">
        <v>4.0</v>
      </c>
    </row>
    <row r="997">
      <c r="A997" s="16" t="s">
        <v>1123</v>
      </c>
      <c r="B997" s="30">
        <v>46044.000704756945</v>
      </c>
      <c r="C997" s="16" t="s">
        <v>127</v>
      </c>
      <c r="D997" s="23" t="s">
        <v>128</v>
      </c>
      <c r="E997" s="17">
        <v>4.0</v>
      </c>
    </row>
    <row r="998">
      <c r="A998" s="16" t="s">
        <v>1124</v>
      </c>
      <c r="B998" s="30">
        <v>46044.000704756945</v>
      </c>
      <c r="C998" s="16" t="s">
        <v>127</v>
      </c>
      <c r="D998" s="23" t="s">
        <v>128</v>
      </c>
      <c r="E998" s="17">
        <v>4.0</v>
      </c>
    </row>
    <row r="999">
      <c r="A999" s="16" t="s">
        <v>1125</v>
      </c>
      <c r="B999" s="30">
        <v>46044.000704756945</v>
      </c>
      <c r="C999" s="16" t="s">
        <v>127</v>
      </c>
      <c r="D999" s="23" t="s">
        <v>128</v>
      </c>
      <c r="E999" s="17">
        <v>4.0</v>
      </c>
    </row>
    <row r="1000">
      <c r="A1000" s="16" t="s">
        <v>1126</v>
      </c>
      <c r="B1000" s="30">
        <v>46044.000704756945</v>
      </c>
      <c r="C1000" s="16" t="s">
        <v>127</v>
      </c>
      <c r="D1000" s="23" t="s">
        <v>128</v>
      </c>
      <c r="E1000" s="17">
        <v>4.0</v>
      </c>
    </row>
    <row r="1001">
      <c r="A1001" s="16" t="s">
        <v>1127</v>
      </c>
      <c r="B1001" s="30">
        <v>46044.000704756945</v>
      </c>
      <c r="C1001" s="16" t="s">
        <v>127</v>
      </c>
      <c r="D1001" s="23" t="s">
        <v>128</v>
      </c>
      <c r="E1001" s="17">
        <v>4.0</v>
      </c>
      <c r="F1001" s="16" t="s">
        <v>1128</v>
      </c>
      <c r="I1001" s="17">
        <v>8.0</v>
      </c>
      <c r="J1001" s="16" t="s">
        <v>1129</v>
      </c>
      <c r="K1001" s="23" t="s">
        <v>1130</v>
      </c>
      <c r="L1001" s="23" t="s">
        <v>1131</v>
      </c>
    </row>
    <row r="1002">
      <c r="A1002" s="16" t="s">
        <v>1132</v>
      </c>
      <c r="B1002" s="30">
        <v>46044.000704756945</v>
      </c>
      <c r="C1002" s="16" t="s">
        <v>127</v>
      </c>
      <c r="D1002" s="23" t="s">
        <v>128</v>
      </c>
      <c r="E1002" s="17">
        <v>4.0</v>
      </c>
      <c r="F1002" s="16" t="s">
        <v>1128</v>
      </c>
      <c r="I1002" s="17">
        <v>5.0</v>
      </c>
      <c r="J1002" s="16" t="s">
        <v>1133</v>
      </c>
      <c r="K1002" s="23" t="s">
        <v>1130</v>
      </c>
      <c r="L1002" s="23" t="s">
        <v>1131</v>
      </c>
    </row>
    <row r="1003">
      <c r="A1003" s="16" t="s">
        <v>1134</v>
      </c>
      <c r="B1003" s="30">
        <v>46044.000704756945</v>
      </c>
      <c r="C1003" s="16" t="s">
        <v>127</v>
      </c>
      <c r="D1003" s="23" t="s">
        <v>128</v>
      </c>
      <c r="E1003" s="17">
        <v>4.0</v>
      </c>
      <c r="F1003" s="16" t="s">
        <v>1128</v>
      </c>
      <c r="I1003" s="17">
        <v>0.0</v>
      </c>
      <c r="J1003" s="23" t="s">
        <v>1135</v>
      </c>
      <c r="K1003" s="23" t="s">
        <v>1136</v>
      </c>
      <c r="L1003" s="23" t="s">
        <v>1136</v>
      </c>
    </row>
    <row r="1004">
      <c r="A1004" s="16" t="s">
        <v>1137</v>
      </c>
      <c r="B1004" s="30">
        <v>46044.000704756945</v>
      </c>
      <c r="C1004" s="16" t="s">
        <v>127</v>
      </c>
      <c r="D1004" s="23" t="s">
        <v>128</v>
      </c>
      <c r="E1004" s="17">
        <v>4.0</v>
      </c>
      <c r="I1004" s="23" t="s">
        <v>1138</v>
      </c>
      <c r="J1004" s="16" t="s">
        <v>127</v>
      </c>
      <c r="K1004" s="23" t="s">
        <v>1139</v>
      </c>
      <c r="L1004" s="16" t="s">
        <v>1140</v>
      </c>
    </row>
    <row r="1005">
      <c r="A1005" s="16" t="s">
        <v>1141</v>
      </c>
      <c r="B1005" s="30">
        <v>46044.000704756945</v>
      </c>
      <c r="C1005" s="16" t="s">
        <v>127</v>
      </c>
      <c r="D1005" s="23" t="s">
        <v>128</v>
      </c>
      <c r="E1005" s="17">
        <v>4.0</v>
      </c>
      <c r="I1005" s="23" t="s">
        <v>1138</v>
      </c>
      <c r="J1005" s="16" t="s">
        <v>127</v>
      </c>
      <c r="K1005" s="23" t="s">
        <v>1139</v>
      </c>
      <c r="L1005" s="16" t="s">
        <v>1140</v>
      </c>
    </row>
    <row r="1006">
      <c r="A1006" s="16" t="s">
        <v>1142</v>
      </c>
      <c r="B1006" s="30">
        <v>46044.000704756945</v>
      </c>
      <c r="C1006" s="16" t="s">
        <v>127</v>
      </c>
      <c r="D1006" s="23" t="s">
        <v>128</v>
      </c>
      <c r="E1006" s="17">
        <v>4.0</v>
      </c>
      <c r="F1006" s="16" t="s">
        <v>1143</v>
      </c>
      <c r="I1006" s="16" t="s">
        <v>127</v>
      </c>
      <c r="J1006" s="30">
        <v>46043.906879999995</v>
      </c>
      <c r="K1006" s="23" t="s">
        <v>1144</v>
      </c>
      <c r="L1006" s="17">
        <v>4.0</v>
      </c>
    </row>
    <row r="1007">
      <c r="A1007" s="16" t="s">
        <v>1145</v>
      </c>
      <c r="B1007" s="30">
        <v>46044.000704756945</v>
      </c>
      <c r="C1007" s="16" t="s">
        <v>127</v>
      </c>
      <c r="D1007" s="23" t="s">
        <v>128</v>
      </c>
      <c r="E1007" s="17">
        <v>4.0</v>
      </c>
      <c r="F1007" s="16" t="s">
        <v>1146</v>
      </c>
      <c r="I1007" s="16" t="s">
        <v>127</v>
      </c>
      <c r="J1007" s="30">
        <v>46043.906901469905</v>
      </c>
      <c r="K1007" s="23" t="s">
        <v>1144</v>
      </c>
      <c r="L1007" s="17">
        <v>4.0</v>
      </c>
    </row>
    <row r="1008">
      <c r="A1008" s="16" t="s">
        <v>1147</v>
      </c>
      <c r="B1008" s="30">
        <v>46044.000704756945</v>
      </c>
      <c r="C1008" s="16" t="s">
        <v>127</v>
      </c>
      <c r="D1008" s="23" t="s">
        <v>128</v>
      </c>
      <c r="E1008" s="17">
        <v>4.0</v>
      </c>
      <c r="I1008" s="23" t="s">
        <v>1138</v>
      </c>
      <c r="J1008" s="16" t="s">
        <v>127</v>
      </c>
      <c r="K1008" s="23" t="s">
        <v>1139</v>
      </c>
      <c r="L1008" s="16" t="s">
        <v>1148</v>
      </c>
    </row>
    <row r="1009">
      <c r="A1009" s="16" t="s">
        <v>1149</v>
      </c>
      <c r="B1009" s="30">
        <v>46044.000704756945</v>
      </c>
      <c r="C1009" s="16" t="s">
        <v>127</v>
      </c>
      <c r="D1009" s="23" t="s">
        <v>128</v>
      </c>
      <c r="E1009" s="17">
        <v>4.0</v>
      </c>
      <c r="F1009" s="16" t="s">
        <v>1150</v>
      </c>
      <c r="I1009" s="16" t="s">
        <v>127</v>
      </c>
      <c r="J1009" s="30">
        <v>46043.90693556713</v>
      </c>
      <c r="K1009" s="23" t="s">
        <v>1144</v>
      </c>
      <c r="L1009" s="17">
        <v>4.0</v>
      </c>
    </row>
    <row r="1010">
      <c r="A1010" s="16" t="s">
        <v>1151</v>
      </c>
      <c r="B1010" s="30">
        <v>46044.000704756945</v>
      </c>
      <c r="C1010" s="16" t="s">
        <v>127</v>
      </c>
      <c r="D1010" s="23" t="s">
        <v>128</v>
      </c>
      <c r="E1010" s="17">
        <v>4.0</v>
      </c>
      <c r="F1010" s="16" t="s">
        <v>1152</v>
      </c>
      <c r="I1010" s="16" t="s">
        <v>127</v>
      </c>
      <c r="J1010" s="30">
        <v>46043.9069487963</v>
      </c>
      <c r="K1010" s="23" t="s">
        <v>1144</v>
      </c>
      <c r="L1010" s="17">
        <v>4.0</v>
      </c>
    </row>
    <row r="1011">
      <c r="A1011" s="16" t="s">
        <v>1153</v>
      </c>
      <c r="B1011" s="30">
        <v>46044.000704756945</v>
      </c>
      <c r="C1011" s="16" t="s">
        <v>127</v>
      </c>
      <c r="D1011" s="23" t="s">
        <v>128</v>
      </c>
      <c r="E1011" s="17">
        <v>4.0</v>
      </c>
      <c r="F1011" s="16" t="s">
        <v>1143</v>
      </c>
      <c r="I1011" s="16" t="s">
        <v>127</v>
      </c>
      <c r="J1011" s="30">
        <v>46043.9120462037</v>
      </c>
      <c r="K1011" s="23" t="s">
        <v>1144</v>
      </c>
      <c r="L1011" s="17">
        <v>4.0</v>
      </c>
    </row>
    <row r="1012">
      <c r="A1012" s="16" t="s">
        <v>1154</v>
      </c>
      <c r="B1012" s="30">
        <v>46044.000704756945</v>
      </c>
      <c r="C1012" s="16" t="s">
        <v>127</v>
      </c>
      <c r="D1012" s="23" t="s">
        <v>128</v>
      </c>
      <c r="E1012" s="17">
        <v>4.0</v>
      </c>
      <c r="F1012" s="16" t="s">
        <v>1146</v>
      </c>
      <c r="I1012" s="16" t="s">
        <v>127</v>
      </c>
      <c r="J1012" s="30">
        <v>46043.912077534726</v>
      </c>
      <c r="K1012" s="23" t="s">
        <v>1144</v>
      </c>
      <c r="L1012" s="17">
        <v>4.0</v>
      </c>
    </row>
    <row r="1013">
      <c r="A1013" s="16" t="s">
        <v>1155</v>
      </c>
      <c r="B1013" s="30">
        <v>46044.000704756945</v>
      </c>
      <c r="C1013" s="16" t="s">
        <v>127</v>
      </c>
      <c r="D1013" s="23" t="s">
        <v>128</v>
      </c>
      <c r="E1013" s="17">
        <v>4.0</v>
      </c>
      <c r="I1013" s="23" t="s">
        <v>1138</v>
      </c>
      <c r="J1013" s="16" t="s">
        <v>127</v>
      </c>
      <c r="K1013" s="23" t="s">
        <v>1139</v>
      </c>
      <c r="L1013" s="16" t="s">
        <v>1148</v>
      </c>
    </row>
    <row r="1014">
      <c r="A1014" s="16" t="s">
        <v>1156</v>
      </c>
      <c r="B1014" s="30">
        <v>46044.000704756945</v>
      </c>
      <c r="C1014" s="16" t="s">
        <v>127</v>
      </c>
      <c r="D1014" s="23" t="s">
        <v>128</v>
      </c>
      <c r="E1014" s="17">
        <v>4.0</v>
      </c>
      <c r="F1014" s="16" t="s">
        <v>1150</v>
      </c>
      <c r="I1014" s="16" t="s">
        <v>127</v>
      </c>
      <c r="J1014" s="30">
        <v>46043.912109247685</v>
      </c>
      <c r="K1014" s="23" t="s">
        <v>1144</v>
      </c>
      <c r="L1014" s="17">
        <v>4.0</v>
      </c>
    </row>
    <row r="1015">
      <c r="A1015" s="16" t="s">
        <v>1157</v>
      </c>
      <c r="B1015" s="30">
        <v>46044.000704756945</v>
      </c>
      <c r="C1015" s="16" t="s">
        <v>127</v>
      </c>
      <c r="D1015" s="23" t="s">
        <v>128</v>
      </c>
      <c r="E1015" s="17">
        <v>4.0</v>
      </c>
      <c r="F1015" s="16" t="s">
        <v>1152</v>
      </c>
      <c r="I1015" s="16" t="s">
        <v>127</v>
      </c>
      <c r="J1015" s="30">
        <v>46043.91213768518</v>
      </c>
      <c r="K1015" s="23" t="s">
        <v>1144</v>
      </c>
      <c r="L1015" s="17">
        <v>4.0</v>
      </c>
    </row>
    <row r="1016">
      <c r="A1016" s="16" t="s">
        <v>1158</v>
      </c>
      <c r="B1016" s="30">
        <v>46044.000704756945</v>
      </c>
      <c r="C1016" s="16" t="s">
        <v>127</v>
      </c>
      <c r="D1016" s="23" t="s">
        <v>128</v>
      </c>
      <c r="E1016" s="17">
        <v>4.0</v>
      </c>
      <c r="F1016" s="16" t="s">
        <v>1159</v>
      </c>
      <c r="I1016" s="16" t="s">
        <v>127</v>
      </c>
      <c r="J1016" s="30">
        <v>46043.93097783565</v>
      </c>
      <c r="K1016" s="23" t="s">
        <v>1144</v>
      </c>
      <c r="L1016" s="17">
        <v>4.0</v>
      </c>
    </row>
    <row r="1017">
      <c r="A1017" s="16" t="s">
        <v>1160</v>
      </c>
      <c r="B1017" s="30">
        <v>46044.000704756945</v>
      </c>
      <c r="C1017" s="16" t="s">
        <v>127</v>
      </c>
      <c r="D1017" s="23" t="s">
        <v>128</v>
      </c>
      <c r="E1017" s="17">
        <v>4.0</v>
      </c>
      <c r="F1017" s="23" t="s">
        <v>1161</v>
      </c>
      <c r="I1017" s="16" t="s">
        <v>127</v>
      </c>
      <c r="J1017" s="30">
        <v>46043.977069409724</v>
      </c>
      <c r="K1017" s="23" t="s">
        <v>1144</v>
      </c>
      <c r="L1017" s="17">
        <v>4.0</v>
      </c>
    </row>
    <row r="1018">
      <c r="A1018" s="16" t="s">
        <v>1162</v>
      </c>
      <c r="B1018" s="30">
        <v>46044.000704756945</v>
      </c>
      <c r="C1018" s="16" t="s">
        <v>127</v>
      </c>
      <c r="D1018" s="23" t="s">
        <v>128</v>
      </c>
      <c r="E1018" s="17">
        <v>4.0</v>
      </c>
      <c r="F1018" s="23" t="s">
        <v>1161</v>
      </c>
      <c r="I1018" s="16" t="s">
        <v>127</v>
      </c>
      <c r="J1018" s="30">
        <v>46043.9771443287</v>
      </c>
      <c r="K1018" s="23" t="s">
        <v>1144</v>
      </c>
      <c r="L1018" s="17">
        <v>4.0</v>
      </c>
    </row>
    <row r="1019">
      <c r="A1019" s="16" t="s">
        <v>1163</v>
      </c>
      <c r="B1019" s="30">
        <v>46044.000704756945</v>
      </c>
      <c r="C1019" s="16" t="s">
        <v>127</v>
      </c>
      <c r="D1019" s="23" t="s">
        <v>128</v>
      </c>
      <c r="E1019" s="17">
        <v>4.0</v>
      </c>
      <c r="F1019" s="23" t="s">
        <v>1161</v>
      </c>
      <c r="I1019" s="16" t="s">
        <v>127</v>
      </c>
      <c r="J1019" s="30">
        <v>46043.977260162035</v>
      </c>
      <c r="K1019" s="23" t="s">
        <v>1144</v>
      </c>
      <c r="L1019" s="17">
        <v>4.0</v>
      </c>
    </row>
    <row r="1020">
      <c r="A1020" s="16" t="s">
        <v>1164</v>
      </c>
      <c r="B1020" s="30">
        <v>46044.000704756945</v>
      </c>
      <c r="C1020" s="16" t="s">
        <v>127</v>
      </c>
      <c r="D1020" s="23" t="s">
        <v>128</v>
      </c>
      <c r="E1020" s="17">
        <v>4.0</v>
      </c>
      <c r="F1020" s="23" t="s">
        <v>1161</v>
      </c>
      <c r="I1020" s="16" t="s">
        <v>127</v>
      </c>
      <c r="J1020" s="30">
        <v>46043.97739505787</v>
      </c>
      <c r="K1020" s="23" t="s">
        <v>1144</v>
      </c>
      <c r="L1020" s="17">
        <v>4.0</v>
      </c>
    </row>
    <row r="1021">
      <c r="A1021" s="16" t="s">
        <v>1165</v>
      </c>
      <c r="B1021" s="30">
        <v>46044.000704756945</v>
      </c>
      <c r="C1021" s="16" t="s">
        <v>127</v>
      </c>
      <c r="D1021" s="23" t="s">
        <v>128</v>
      </c>
      <c r="E1021" s="17">
        <v>4.0</v>
      </c>
      <c r="F1021" s="23" t="s">
        <v>1161</v>
      </c>
      <c r="I1021" s="16" t="s">
        <v>127</v>
      </c>
      <c r="J1021" s="30">
        <v>46043.97755766204</v>
      </c>
      <c r="K1021" s="23" t="s">
        <v>1144</v>
      </c>
      <c r="L1021" s="17">
        <v>4.0</v>
      </c>
    </row>
    <row r="1022">
      <c r="A1022" s="16" t="s">
        <v>1166</v>
      </c>
      <c r="B1022" s="30">
        <v>46044.000704756945</v>
      </c>
      <c r="C1022" s="16" t="s">
        <v>127</v>
      </c>
      <c r="D1022" s="23" t="s">
        <v>128</v>
      </c>
      <c r="E1022" s="17">
        <v>4.0</v>
      </c>
      <c r="F1022" s="23" t="s">
        <v>1161</v>
      </c>
      <c r="I1022" s="16" t="s">
        <v>127</v>
      </c>
      <c r="J1022" s="30">
        <v>46043.97784075231</v>
      </c>
      <c r="K1022" s="23" t="s">
        <v>1144</v>
      </c>
      <c r="L1022" s="17">
        <v>4.0</v>
      </c>
    </row>
    <row r="1023">
      <c r="A1023" s="16" t="s">
        <v>1167</v>
      </c>
      <c r="B1023" s="30">
        <v>46044.000704756945</v>
      </c>
      <c r="C1023" s="16" t="s">
        <v>127</v>
      </c>
      <c r="D1023" s="23" t="s">
        <v>128</v>
      </c>
      <c r="E1023" s="17">
        <v>4.0</v>
      </c>
      <c r="F1023" s="23" t="s">
        <v>1161</v>
      </c>
      <c r="I1023" s="16" t="s">
        <v>127</v>
      </c>
      <c r="J1023" s="30">
        <v>46043.97832444444</v>
      </c>
      <c r="K1023" s="23" t="s">
        <v>1144</v>
      </c>
      <c r="L1023" s="17">
        <v>4.0</v>
      </c>
    </row>
    <row r="1024">
      <c r="A1024" s="16" t="s">
        <v>1168</v>
      </c>
      <c r="B1024" s="30">
        <v>46044.000704756945</v>
      </c>
      <c r="C1024" s="16" t="s">
        <v>127</v>
      </c>
      <c r="D1024" s="23" t="s">
        <v>128</v>
      </c>
      <c r="E1024" s="17">
        <v>4.0</v>
      </c>
      <c r="F1024" s="23" t="s">
        <v>1161</v>
      </c>
      <c r="I1024" s="16" t="s">
        <v>127</v>
      </c>
      <c r="J1024" s="30">
        <v>46043.97916236111</v>
      </c>
      <c r="K1024" s="23" t="s">
        <v>1144</v>
      </c>
      <c r="L1024" s="17">
        <v>4.0</v>
      </c>
    </row>
    <row r="1025">
      <c r="A1025" s="16" t="s">
        <v>1169</v>
      </c>
      <c r="B1025" s="30">
        <v>46044.000704756945</v>
      </c>
      <c r="C1025" s="16" t="s">
        <v>127</v>
      </c>
      <c r="D1025" s="23" t="s">
        <v>128</v>
      </c>
      <c r="E1025" s="17">
        <v>4.0</v>
      </c>
      <c r="F1025" s="23" t="s">
        <v>1161</v>
      </c>
      <c r="I1025" s="16" t="s">
        <v>127</v>
      </c>
      <c r="J1025" s="30">
        <v>46043.9802337037</v>
      </c>
      <c r="K1025" s="23" t="s">
        <v>1144</v>
      </c>
      <c r="L1025" s="17">
        <v>4.0</v>
      </c>
    </row>
    <row r="1026">
      <c r="A1026" s="16" t="s">
        <v>1170</v>
      </c>
      <c r="B1026" s="30">
        <v>46044.000704756945</v>
      </c>
      <c r="C1026" s="16" t="s">
        <v>127</v>
      </c>
      <c r="D1026" s="23" t="s">
        <v>128</v>
      </c>
      <c r="E1026" s="17">
        <v>4.0</v>
      </c>
      <c r="F1026" s="16" t="s">
        <v>1140</v>
      </c>
      <c r="I1026" s="16" t="s">
        <v>127</v>
      </c>
      <c r="J1026" s="30">
        <v>46043.9844646875</v>
      </c>
      <c r="K1026" s="23" t="s">
        <v>1144</v>
      </c>
      <c r="L1026" s="17">
        <v>4.0</v>
      </c>
    </row>
    <row r="1027">
      <c r="A1027" s="16" t="s">
        <v>1171</v>
      </c>
      <c r="B1027" s="27">
        <v>46044.00288696759</v>
      </c>
      <c r="C1027" s="16" t="s">
        <v>127</v>
      </c>
      <c r="D1027" s="23" t="s">
        <v>128</v>
      </c>
      <c r="E1027" s="17">
        <v>4.0</v>
      </c>
      <c r="F1027" s="16" t="s">
        <v>1172</v>
      </c>
      <c r="G1027" s="16" t="s">
        <v>1173</v>
      </c>
      <c r="H1027" s="16" t="s">
        <v>1174</v>
      </c>
      <c r="I1027" s="16">
        <v>239.05</v>
      </c>
      <c r="J1027" s="23" t="s">
        <v>1175</v>
      </c>
      <c r="K1027" s="23" t="s">
        <v>1130</v>
      </c>
      <c r="L1027" s="23" t="s">
        <v>1176</v>
      </c>
      <c r="M1027" s="23" t="s">
        <v>1177</v>
      </c>
    </row>
    <row r="1028">
      <c r="A1028" s="16" t="s">
        <v>1178</v>
      </c>
      <c r="B1028" s="27">
        <v>46044.05073322917</v>
      </c>
      <c r="C1028" s="16" t="s">
        <v>127</v>
      </c>
      <c r="D1028" s="23" t="s">
        <v>128</v>
      </c>
      <c r="E1028" s="17">
        <v>4.0</v>
      </c>
      <c r="F1028" s="16" t="s">
        <v>1146</v>
      </c>
      <c r="G1028" s="16"/>
      <c r="H1028" s="16"/>
      <c r="I1028" s="16">
        <v>5.0</v>
      </c>
      <c r="J1028" s="23" t="s">
        <v>1179</v>
      </c>
      <c r="K1028" s="23" t="s">
        <v>1176</v>
      </c>
      <c r="L1028" s="16" t="s">
        <v>1180</v>
      </c>
      <c r="M1028" s="23" t="s">
        <v>1181</v>
      </c>
    </row>
    <row r="1029">
      <c r="A1029" s="27">
        <v>46044.050775578704</v>
      </c>
      <c r="B1029" s="16" t="s">
        <v>127</v>
      </c>
      <c r="C1029" s="23" t="s">
        <v>1138</v>
      </c>
      <c r="D1029" s="23" t="s">
        <v>1139</v>
      </c>
      <c r="E1029" s="16" t="s">
        <v>1148</v>
      </c>
      <c r="F1029" s="16"/>
      <c r="G1029" s="16"/>
      <c r="H1029" s="16">
        <v>1.0</v>
      </c>
      <c r="I1029" s="16" t="s">
        <v>1128</v>
      </c>
      <c r="J1029" s="23" t="s">
        <v>1182</v>
      </c>
      <c r="K1029" s="23" t="s">
        <v>1176</v>
      </c>
      <c r="L1029" s="16" t="s">
        <v>1183</v>
      </c>
      <c r="M1029" s="23"/>
    </row>
    <row r="1030">
      <c r="A1030" s="16" t="s">
        <v>1184</v>
      </c>
      <c r="B1030" s="27">
        <v>46044.050788611115</v>
      </c>
      <c r="C1030" s="16" t="s">
        <v>127</v>
      </c>
      <c r="D1030" s="23" t="s">
        <v>128</v>
      </c>
      <c r="E1030" s="16">
        <v>4.0</v>
      </c>
      <c r="F1030" s="16" t="s">
        <v>1150</v>
      </c>
      <c r="G1030" s="16"/>
      <c r="H1030" s="16"/>
      <c r="I1030" s="16">
        <v>1.0</v>
      </c>
      <c r="J1030" s="16" t="s">
        <v>1185</v>
      </c>
      <c r="K1030" s="23" t="s">
        <v>1182</v>
      </c>
      <c r="L1030" s="23" t="s">
        <v>1176</v>
      </c>
      <c r="M1030" s="16" t="s">
        <v>1128</v>
      </c>
    </row>
    <row r="1031">
      <c r="A1031" s="16" t="s">
        <v>1186</v>
      </c>
      <c r="B1031" s="27">
        <v>46044.05080737268</v>
      </c>
      <c r="C1031" s="16" t="s">
        <v>127</v>
      </c>
      <c r="D1031" s="23" t="s">
        <v>128</v>
      </c>
      <c r="E1031" s="16">
        <v>4.0</v>
      </c>
      <c r="F1031" s="16" t="s">
        <v>1152</v>
      </c>
      <c r="G1031" s="16"/>
      <c r="H1031" s="16"/>
      <c r="I1031" s="16">
        <v>2.0</v>
      </c>
      <c r="J1031" s="16" t="s">
        <v>1187</v>
      </c>
      <c r="K1031" s="23" t="s">
        <v>1188</v>
      </c>
      <c r="L1031" s="23" t="s">
        <v>1176</v>
      </c>
      <c r="M1031" s="16" t="s">
        <v>1189</v>
      </c>
    </row>
    <row r="1032">
      <c r="A1032" s="16" t="s">
        <v>1190</v>
      </c>
      <c r="B1032" s="27">
        <v>46044.076831909726</v>
      </c>
      <c r="C1032" s="16" t="s">
        <v>127</v>
      </c>
      <c r="D1032" s="23" t="s">
        <v>128</v>
      </c>
      <c r="E1032" s="16">
        <v>4.0</v>
      </c>
      <c r="F1032" s="23" t="s">
        <v>1191</v>
      </c>
      <c r="G1032" s="23" t="s">
        <v>1192</v>
      </c>
      <c r="H1032" s="23" t="s">
        <v>1192</v>
      </c>
      <c r="I1032" s="16">
        <v>0.0</v>
      </c>
      <c r="J1032" s="23" t="s">
        <v>1192</v>
      </c>
      <c r="K1032" s="23" t="s">
        <v>1192</v>
      </c>
      <c r="L1032" s="23" t="s">
        <v>1192</v>
      </c>
      <c r="M1032" s="31" t="s">
        <v>1193</v>
      </c>
    </row>
    <row r="1033">
      <c r="A1033" s="16" t="s">
        <v>1194</v>
      </c>
      <c r="B1033" s="27">
        <v>46044.56081386574</v>
      </c>
      <c r="C1033" s="16" t="s">
        <v>127</v>
      </c>
      <c r="D1033" s="23" t="s">
        <v>128</v>
      </c>
      <c r="E1033" s="16">
        <v>4.0</v>
      </c>
      <c r="F1033" s="16" t="s">
        <v>1140</v>
      </c>
      <c r="G1033" s="23"/>
      <c r="H1033" s="16" t="s">
        <v>1195</v>
      </c>
      <c r="I1033" s="16">
        <v>1.0</v>
      </c>
      <c r="J1033" s="16" t="s">
        <v>1133</v>
      </c>
      <c r="K1033" s="23" t="s">
        <v>1196</v>
      </c>
      <c r="L1033" s="16" t="s">
        <v>1197</v>
      </c>
      <c r="M1033" s="16" t="s">
        <v>1198</v>
      </c>
    </row>
    <row r="1034">
      <c r="A1034" s="16" t="s">
        <v>1199</v>
      </c>
      <c r="B1034" s="27">
        <v>46044.69881494213</v>
      </c>
      <c r="C1034" s="16" t="s">
        <v>127</v>
      </c>
      <c r="D1034" s="23" t="s">
        <v>128</v>
      </c>
      <c r="E1034" s="16">
        <v>4.0</v>
      </c>
      <c r="F1034" s="16" t="s">
        <v>1140</v>
      </c>
      <c r="G1034" s="23"/>
      <c r="H1034" s="16"/>
      <c r="I1034" s="16">
        <v>115.0</v>
      </c>
      <c r="J1034" s="16" t="s">
        <v>1200</v>
      </c>
      <c r="K1034" s="23" t="s">
        <v>1196</v>
      </c>
      <c r="L1034" s="16" t="s">
        <v>1201</v>
      </c>
      <c r="M1034" s="16" t="s">
        <v>1202</v>
      </c>
    </row>
    <row r="1035">
      <c r="A1035" s="16" t="s">
        <v>1203</v>
      </c>
      <c r="B1035" s="27">
        <v>46046.22518047453</v>
      </c>
      <c r="C1035" s="16" t="s">
        <v>127</v>
      </c>
      <c r="D1035" s="23" t="s">
        <v>1204</v>
      </c>
      <c r="E1035" s="16">
        <v>4.0</v>
      </c>
      <c r="F1035" s="16" t="s">
        <v>1143</v>
      </c>
      <c r="G1035" s="23"/>
      <c r="H1035" s="16"/>
      <c r="I1035" s="16">
        <v>10.0</v>
      </c>
      <c r="J1035" s="23" t="s">
        <v>1205</v>
      </c>
      <c r="K1035" s="23" t="s">
        <v>1176</v>
      </c>
      <c r="L1035" s="23" t="s">
        <v>1182</v>
      </c>
      <c r="M1035" s="23" t="s">
        <v>1206</v>
      </c>
    </row>
    <row r="1036">
      <c r="A1036" s="16" t="s">
        <v>1207</v>
      </c>
      <c r="B1036" s="27">
        <v>46046.22526876157</v>
      </c>
      <c r="C1036" s="16" t="s">
        <v>127</v>
      </c>
      <c r="D1036" s="23" t="s">
        <v>1204</v>
      </c>
      <c r="E1036" s="16">
        <v>4.0</v>
      </c>
      <c r="F1036" s="16" t="s">
        <v>1150</v>
      </c>
      <c r="G1036" s="16"/>
      <c r="H1036" s="16"/>
      <c r="I1036" s="16">
        <v>1.0</v>
      </c>
      <c r="J1036" s="16" t="s">
        <v>1185</v>
      </c>
      <c r="K1036" s="23" t="s">
        <v>1182</v>
      </c>
      <c r="L1036" s="23" t="s">
        <v>1176</v>
      </c>
      <c r="M1036" s="16" t="s">
        <v>1128</v>
      </c>
    </row>
    <row r="1037">
      <c r="A1037" s="16" t="s">
        <v>1208</v>
      </c>
      <c r="B1037" s="27">
        <v>46046.22528171296</v>
      </c>
      <c r="C1037" s="16" t="s">
        <v>127</v>
      </c>
      <c r="D1037" s="23" t="s">
        <v>1204</v>
      </c>
      <c r="E1037" s="16">
        <v>4.0</v>
      </c>
      <c r="F1037" s="16" t="s">
        <v>1152</v>
      </c>
      <c r="G1037" s="16"/>
      <c r="H1037" s="16"/>
      <c r="I1037" s="16">
        <v>2.0</v>
      </c>
      <c r="J1037" s="16" t="s">
        <v>1187</v>
      </c>
      <c r="K1037" s="23" t="s">
        <v>1188</v>
      </c>
      <c r="L1037" s="23" t="s">
        <v>1176</v>
      </c>
      <c r="M1037" s="16" t="s">
        <v>1189</v>
      </c>
    </row>
    <row r="1038">
      <c r="A1038" s="16" t="s">
        <v>1209</v>
      </c>
      <c r="B1038" s="27">
        <v>46046.660790775466</v>
      </c>
      <c r="C1038" s="16" t="s">
        <v>127</v>
      </c>
      <c r="D1038" s="23" t="s">
        <v>1204</v>
      </c>
      <c r="E1038" s="16">
        <v>4.0</v>
      </c>
      <c r="F1038" s="16" t="s">
        <v>1140</v>
      </c>
      <c r="G1038" s="16"/>
      <c r="H1038" s="16" t="s">
        <v>1195</v>
      </c>
      <c r="I1038" s="16">
        <v>50.0</v>
      </c>
      <c r="J1038" s="16" t="s">
        <v>1210</v>
      </c>
      <c r="K1038" s="16" t="s">
        <v>1211</v>
      </c>
      <c r="L1038" s="16" t="s">
        <v>1212</v>
      </c>
      <c r="M1038" s="16" t="s">
        <v>1213</v>
      </c>
    </row>
    <row r="1039">
      <c r="A1039" s="16" t="s">
        <v>1214</v>
      </c>
      <c r="B1039" s="27">
        <v>46046.670902638885</v>
      </c>
      <c r="C1039" s="16" t="s">
        <v>127</v>
      </c>
      <c r="D1039" s="23" t="s">
        <v>1204</v>
      </c>
      <c r="E1039" s="16">
        <v>4.0</v>
      </c>
      <c r="F1039" s="16" t="s">
        <v>1140</v>
      </c>
      <c r="G1039" s="16"/>
      <c r="H1039" s="16"/>
      <c r="I1039" s="16">
        <v>25.15</v>
      </c>
      <c r="J1039" s="16" t="s">
        <v>1215</v>
      </c>
      <c r="K1039" s="23" t="s">
        <v>1196</v>
      </c>
      <c r="L1039" s="16" t="s">
        <v>1201</v>
      </c>
      <c r="M1039" s="23" t="s">
        <v>1216</v>
      </c>
    </row>
    <row r="1040">
      <c r="A1040" s="16" t="s">
        <v>1217</v>
      </c>
      <c r="B1040" s="27">
        <v>46046.69415059028</v>
      </c>
      <c r="C1040" s="16" t="s">
        <v>127</v>
      </c>
      <c r="D1040" s="23" t="s">
        <v>1204</v>
      </c>
      <c r="E1040" s="16">
        <v>4.0</v>
      </c>
      <c r="F1040" s="16" t="s">
        <v>1140</v>
      </c>
      <c r="G1040" s="16"/>
      <c r="H1040" s="16" t="s">
        <v>1195</v>
      </c>
      <c r="I1040" s="16">
        <v>3.5</v>
      </c>
      <c r="J1040" s="16" t="s">
        <v>1218</v>
      </c>
      <c r="K1040" s="16" t="s">
        <v>1211</v>
      </c>
      <c r="L1040" s="16" t="s">
        <v>1212</v>
      </c>
      <c r="M1040" s="23" t="s">
        <v>1219</v>
      </c>
    </row>
    <row r="1041">
      <c r="A1041" s="16" t="s">
        <v>1220</v>
      </c>
      <c r="B1041" s="27">
        <v>46046.769327766204</v>
      </c>
      <c r="C1041" s="16" t="s">
        <v>127</v>
      </c>
      <c r="D1041" s="23" t="s">
        <v>1204</v>
      </c>
      <c r="E1041" s="16">
        <v>4.0</v>
      </c>
      <c r="F1041" s="16" t="s">
        <v>1140</v>
      </c>
      <c r="G1041" s="16"/>
      <c r="H1041" s="16"/>
      <c r="I1041" s="16">
        <v>150.0</v>
      </c>
      <c r="J1041" s="23" t="s">
        <v>1221</v>
      </c>
      <c r="K1041" s="23" t="s">
        <v>1222</v>
      </c>
      <c r="L1041" s="23" t="s">
        <v>1223</v>
      </c>
      <c r="M1041" s="23" t="s">
        <v>1224</v>
      </c>
    </row>
    <row r="1042">
      <c r="A1042" s="16" t="s">
        <v>1225</v>
      </c>
      <c r="B1042" s="27">
        <v>46046.76945841435</v>
      </c>
      <c r="C1042" s="16" t="s">
        <v>127</v>
      </c>
      <c r="D1042" s="23" t="s">
        <v>1204</v>
      </c>
      <c r="E1042" s="16">
        <v>4.0</v>
      </c>
      <c r="F1042" s="16" t="s">
        <v>1140</v>
      </c>
      <c r="G1042" s="16">
        <v>9114.0</v>
      </c>
      <c r="H1042" s="16">
        <v>9765.0</v>
      </c>
      <c r="I1042" s="16">
        <v>150.0</v>
      </c>
      <c r="J1042" s="23" t="s">
        <v>1226</v>
      </c>
      <c r="K1042" s="23" t="s">
        <v>1227</v>
      </c>
      <c r="L1042" s="23" t="s">
        <v>1228</v>
      </c>
      <c r="M1042" s="23" t="s">
        <v>1229</v>
      </c>
    </row>
    <row r="1043">
      <c r="A1043" s="16" t="s">
        <v>1230</v>
      </c>
      <c r="B1043" s="27">
        <v>46046.856489768514</v>
      </c>
      <c r="C1043" s="16" t="s">
        <v>127</v>
      </c>
      <c r="D1043" s="23" t="s">
        <v>1204</v>
      </c>
      <c r="E1043" s="16">
        <v>4.0</v>
      </c>
      <c r="F1043" s="16" t="s">
        <v>1143</v>
      </c>
      <c r="G1043" s="16"/>
      <c r="H1043" s="16"/>
      <c r="I1043" s="16">
        <v>10.0</v>
      </c>
      <c r="J1043" s="23" t="s">
        <v>1205</v>
      </c>
      <c r="K1043" s="23" t="s">
        <v>1176</v>
      </c>
      <c r="L1043" s="23" t="s">
        <v>1182</v>
      </c>
      <c r="M1043" s="23" t="s">
        <v>1206</v>
      </c>
    </row>
    <row r="1044">
      <c r="A1044" s="16" t="s">
        <v>1231</v>
      </c>
      <c r="B1044" s="27">
        <v>46046.85653362269</v>
      </c>
      <c r="C1044" s="16" t="s">
        <v>127</v>
      </c>
      <c r="D1044" s="23" t="s">
        <v>1204</v>
      </c>
      <c r="E1044" s="16">
        <v>4.0</v>
      </c>
      <c r="F1044" s="16" t="s">
        <v>1146</v>
      </c>
      <c r="G1044" s="16"/>
      <c r="H1044" s="16"/>
      <c r="I1044" s="16">
        <v>5.0</v>
      </c>
      <c r="J1044" s="23" t="s">
        <v>1179</v>
      </c>
      <c r="K1044" s="23" t="s">
        <v>1176</v>
      </c>
      <c r="L1044" s="16" t="s">
        <v>1180</v>
      </c>
      <c r="M1044" s="23" t="s">
        <v>1181</v>
      </c>
    </row>
    <row r="1045">
      <c r="A1045" s="27">
        <v>46046.85656586806</v>
      </c>
      <c r="B1045" s="16" t="s">
        <v>127</v>
      </c>
      <c r="C1045" s="23" t="s">
        <v>1138</v>
      </c>
      <c r="D1045" s="23" t="s">
        <v>1139</v>
      </c>
      <c r="E1045" s="16" t="s">
        <v>1148</v>
      </c>
      <c r="F1045" s="16"/>
      <c r="G1045" s="16"/>
      <c r="H1045" s="16">
        <v>1.0</v>
      </c>
      <c r="I1045" s="16" t="s">
        <v>1128</v>
      </c>
      <c r="J1045" s="23" t="s">
        <v>1182</v>
      </c>
      <c r="K1045" s="23" t="s">
        <v>1176</v>
      </c>
      <c r="L1045" s="16" t="s">
        <v>1183</v>
      </c>
      <c r="M1045" s="23"/>
    </row>
    <row r="1046">
      <c r="A1046" s="16" t="s">
        <v>1232</v>
      </c>
      <c r="B1046" s="27">
        <v>46046.85658371528</v>
      </c>
      <c r="C1046" s="16" t="s">
        <v>127</v>
      </c>
      <c r="D1046" s="23" t="s">
        <v>1204</v>
      </c>
      <c r="E1046" s="16">
        <v>4.0</v>
      </c>
      <c r="F1046" s="16" t="s">
        <v>1143</v>
      </c>
      <c r="G1046" s="16"/>
      <c r="H1046" s="16"/>
      <c r="I1046" s="16">
        <v>10.0</v>
      </c>
      <c r="J1046" s="23" t="s">
        <v>1205</v>
      </c>
      <c r="K1046" s="23" t="s">
        <v>1176</v>
      </c>
      <c r="L1046" s="23" t="s">
        <v>1182</v>
      </c>
      <c r="M1046" s="23" t="s">
        <v>1206</v>
      </c>
    </row>
    <row r="1047">
      <c r="A1047" s="16" t="s">
        <v>1233</v>
      </c>
      <c r="B1047" s="27">
        <v>46046.85661189815</v>
      </c>
      <c r="C1047" s="16" t="s">
        <v>127</v>
      </c>
      <c r="D1047" s="23" t="s">
        <v>1204</v>
      </c>
      <c r="E1047" s="16">
        <v>4.0</v>
      </c>
      <c r="F1047" s="16" t="s">
        <v>1150</v>
      </c>
      <c r="G1047" s="16"/>
      <c r="H1047" s="16"/>
      <c r="I1047" s="16">
        <v>1.0</v>
      </c>
      <c r="J1047" s="16" t="s">
        <v>1185</v>
      </c>
      <c r="K1047" s="23" t="s">
        <v>1182</v>
      </c>
      <c r="L1047" s="23" t="s">
        <v>1176</v>
      </c>
      <c r="M1047" s="16" t="s">
        <v>1128</v>
      </c>
    </row>
    <row r="1048">
      <c r="A1048" s="16" t="s">
        <v>1234</v>
      </c>
      <c r="B1048" s="27">
        <v>46046.856644513886</v>
      </c>
      <c r="C1048" s="16" t="s">
        <v>127</v>
      </c>
      <c r="D1048" s="23" t="s">
        <v>1204</v>
      </c>
      <c r="E1048" s="16">
        <v>4.0</v>
      </c>
      <c r="F1048" s="16" t="s">
        <v>1146</v>
      </c>
      <c r="G1048" s="16" t="s">
        <v>97</v>
      </c>
      <c r="H1048" s="16" t="s">
        <v>97</v>
      </c>
      <c r="I1048" s="16">
        <v>5.0</v>
      </c>
      <c r="J1048" s="23" t="s">
        <v>1179</v>
      </c>
      <c r="K1048" s="16" t="s">
        <v>97</v>
      </c>
      <c r="L1048" s="16" t="s">
        <v>1212</v>
      </c>
      <c r="M1048" s="23" t="s">
        <v>1181</v>
      </c>
    </row>
    <row r="1049">
      <c r="A1049" s="16" t="s">
        <v>1235</v>
      </c>
      <c r="B1049" s="27">
        <v>46046.856651608796</v>
      </c>
      <c r="C1049" s="16" t="s">
        <v>127</v>
      </c>
      <c r="D1049" s="23" t="s">
        <v>1204</v>
      </c>
      <c r="E1049" s="16">
        <v>4.0</v>
      </c>
      <c r="F1049" s="16" t="s">
        <v>1152</v>
      </c>
      <c r="G1049" s="16"/>
      <c r="H1049" s="16"/>
      <c r="I1049" s="16">
        <v>2.0</v>
      </c>
      <c r="J1049" s="16" t="s">
        <v>1187</v>
      </c>
      <c r="K1049" s="23" t="s">
        <v>1188</v>
      </c>
      <c r="L1049" s="23" t="s">
        <v>1176</v>
      </c>
      <c r="M1049" s="16" t="s">
        <v>1189</v>
      </c>
    </row>
    <row r="1050">
      <c r="A1050" s="27">
        <v>46046.856695995375</v>
      </c>
      <c r="B1050" s="16" t="s">
        <v>127</v>
      </c>
      <c r="C1050" s="23" t="s">
        <v>1138</v>
      </c>
      <c r="D1050" s="23" t="s">
        <v>1139</v>
      </c>
      <c r="E1050" s="16" t="s">
        <v>1148</v>
      </c>
      <c r="F1050" s="16"/>
      <c r="G1050" s="16"/>
      <c r="H1050" s="16">
        <v>1.0</v>
      </c>
      <c r="I1050" s="16" t="s">
        <v>1128</v>
      </c>
      <c r="J1050" s="23" t="s">
        <v>1182</v>
      </c>
      <c r="K1050" s="23" t="s">
        <v>1176</v>
      </c>
      <c r="L1050" s="16" t="s">
        <v>1183</v>
      </c>
      <c r="M1050" s="16"/>
    </row>
    <row r="1051">
      <c r="A1051" s="16" t="s">
        <v>1236</v>
      </c>
      <c r="B1051" s="27">
        <v>46046.8567125463</v>
      </c>
      <c r="C1051" s="16" t="s">
        <v>127</v>
      </c>
      <c r="D1051" s="23" t="s">
        <v>1204</v>
      </c>
      <c r="E1051" s="16">
        <v>4.0</v>
      </c>
      <c r="F1051" s="16" t="s">
        <v>1150</v>
      </c>
      <c r="G1051" s="16"/>
      <c r="H1051" s="16"/>
      <c r="I1051" s="16">
        <v>1.0</v>
      </c>
      <c r="J1051" s="16" t="s">
        <v>1185</v>
      </c>
      <c r="K1051" s="23" t="s">
        <v>1182</v>
      </c>
      <c r="L1051" s="23" t="s">
        <v>1176</v>
      </c>
      <c r="M1051" s="16" t="s">
        <v>1128</v>
      </c>
    </row>
    <row r="1052">
      <c r="A1052" s="16" t="s">
        <v>1237</v>
      </c>
      <c r="B1052" s="27">
        <v>46046.85673049769</v>
      </c>
      <c r="C1052" s="16" t="s">
        <v>127</v>
      </c>
      <c r="D1052" s="23" t="s">
        <v>1204</v>
      </c>
      <c r="E1052" s="16">
        <v>4.0</v>
      </c>
      <c r="F1052" s="16" t="s">
        <v>1152</v>
      </c>
      <c r="G1052" s="16"/>
      <c r="H1052" s="16"/>
      <c r="I1052" s="16">
        <v>2.0</v>
      </c>
      <c r="J1052" s="16" t="s">
        <v>1187</v>
      </c>
      <c r="K1052" s="23" t="s">
        <v>1188</v>
      </c>
      <c r="L1052" s="23" t="s">
        <v>1176</v>
      </c>
      <c r="M1052" s="16" t="s">
        <v>1189</v>
      </c>
    </row>
    <row r="1053">
      <c r="A1053" s="16" t="s">
        <v>1238</v>
      </c>
      <c r="B1053" s="27">
        <v>46047.97088704861</v>
      </c>
      <c r="C1053" s="16" t="s">
        <v>127</v>
      </c>
      <c r="D1053" s="23" t="s">
        <v>1239</v>
      </c>
      <c r="E1053" s="16">
        <v>4.0</v>
      </c>
      <c r="F1053" s="16" t="s">
        <v>1140</v>
      </c>
      <c r="G1053" s="16"/>
      <c r="H1053" s="16" t="s">
        <v>1195</v>
      </c>
      <c r="I1053" s="16">
        <v>11.0</v>
      </c>
      <c r="J1053" s="16" t="s">
        <v>1240</v>
      </c>
      <c r="K1053" s="23" t="s">
        <v>1196</v>
      </c>
      <c r="L1053" s="16" t="s">
        <v>1197</v>
      </c>
      <c r="M1053" s="16" t="s">
        <v>1241</v>
      </c>
    </row>
    <row r="1054">
      <c r="A1054" s="16" t="s">
        <v>1242</v>
      </c>
      <c r="B1054" s="27">
        <v>46048.00050258102</v>
      </c>
      <c r="C1054" s="16" t="s">
        <v>127</v>
      </c>
      <c r="D1054" s="23" t="s">
        <v>1243</v>
      </c>
      <c r="E1054" s="16">
        <v>5.0</v>
      </c>
      <c r="F1054" s="16" t="s">
        <v>1244</v>
      </c>
      <c r="G1054" s="16"/>
      <c r="H1054" s="16" t="s">
        <v>1245</v>
      </c>
      <c r="I1054" s="16">
        <v>15.0</v>
      </c>
      <c r="J1054" s="16" t="s">
        <v>1246</v>
      </c>
      <c r="K1054" s="23" t="s">
        <v>1247</v>
      </c>
      <c r="L1054" s="23" t="s">
        <v>1176</v>
      </c>
      <c r="M1054" s="23" t="s">
        <v>1248</v>
      </c>
    </row>
  </sheetData>
  <hyperlinks>
    <hyperlink r:id="rId1" ref="M1032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32" t="s">
        <v>67</v>
      </c>
      <c r="B1" s="33" t="s">
        <v>1249</v>
      </c>
      <c r="C1" s="33" t="s">
        <v>1250</v>
      </c>
      <c r="D1" s="33" t="s">
        <v>1251</v>
      </c>
      <c r="E1" s="33" t="s">
        <v>4</v>
      </c>
      <c r="F1" s="33" t="s">
        <v>1252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5" max="5" width="12.63"/>
  </cols>
  <sheetData>
    <row r="1">
      <c r="A1" s="23" t="s">
        <v>53</v>
      </c>
      <c r="B1" s="23" t="s">
        <v>79</v>
      </c>
      <c r="C1" s="23" t="s">
        <v>1253</v>
      </c>
      <c r="D1" s="23" t="s">
        <v>1254</v>
      </c>
      <c r="E1" s="24" t="s">
        <v>93</v>
      </c>
      <c r="F1" s="34" t="s">
        <v>1255</v>
      </c>
      <c r="G1" s="23" t="s">
        <v>1256</v>
      </c>
      <c r="H1" s="16" t="s">
        <v>1257</v>
      </c>
      <c r="I1" s="23" t="s">
        <v>1258</v>
      </c>
      <c r="J1" s="23" t="s">
        <v>41</v>
      </c>
    </row>
    <row r="2">
      <c r="A2" s="23" t="s">
        <v>1259</v>
      </c>
      <c r="B2" s="23" t="s">
        <v>1260</v>
      </c>
      <c r="C2" s="16">
        <v>8001.0</v>
      </c>
      <c r="D2" s="23" t="s">
        <v>1261</v>
      </c>
      <c r="E2" s="26">
        <v>0.0</v>
      </c>
      <c r="F2" s="35">
        <v>46047.98072777777</v>
      </c>
      <c r="G2" s="16" t="b">
        <v>1</v>
      </c>
      <c r="H2" s="16" t="s">
        <v>1262</v>
      </c>
      <c r="I2" s="23" t="s">
        <v>1263</v>
      </c>
      <c r="J2" s="23" t="s">
        <v>1264</v>
      </c>
    </row>
    <row r="3">
      <c r="A3" s="23" t="s">
        <v>1265</v>
      </c>
      <c r="B3" s="23" t="s">
        <v>1266</v>
      </c>
      <c r="C3" s="16">
        <v>3474.0</v>
      </c>
      <c r="D3" s="23" t="s">
        <v>1261</v>
      </c>
      <c r="E3" s="26">
        <v>-30.0</v>
      </c>
      <c r="F3" s="35">
        <v>46048.01453956019</v>
      </c>
      <c r="G3" s="16" t="b">
        <v>1</v>
      </c>
      <c r="H3" s="23" t="s">
        <v>1267</v>
      </c>
      <c r="I3" s="23" t="s">
        <v>1268</v>
      </c>
      <c r="J3" s="23" t="s">
        <v>1269</v>
      </c>
    </row>
    <row r="4">
      <c r="A4" s="23" t="s">
        <v>1270</v>
      </c>
      <c r="B4" s="23" t="s">
        <v>1260</v>
      </c>
      <c r="C4" s="16">
        <v>9767.0</v>
      </c>
      <c r="D4" s="23" t="s">
        <v>1270</v>
      </c>
      <c r="E4" s="26">
        <v>0.0</v>
      </c>
      <c r="F4" s="35">
        <v>46047.98072777777</v>
      </c>
      <c r="G4" s="16" t="b">
        <v>1</v>
      </c>
      <c r="H4" s="23" t="s">
        <v>1271</v>
      </c>
      <c r="I4" s="16" t="s">
        <v>94</v>
      </c>
      <c r="J4" s="23" t="s">
        <v>1136</v>
      </c>
    </row>
    <row r="5">
      <c r="A5" s="16" t="s">
        <v>1272</v>
      </c>
      <c r="B5" s="23" t="s">
        <v>1273</v>
      </c>
      <c r="C5" s="16" t="s">
        <v>1272</v>
      </c>
      <c r="D5" s="16" t="s">
        <v>1272</v>
      </c>
      <c r="E5" s="26">
        <v>0.0</v>
      </c>
      <c r="F5" s="35">
        <v>46047.98072777777</v>
      </c>
      <c r="G5" s="16" t="b">
        <v>1</v>
      </c>
      <c r="H5" s="16" t="s">
        <v>1272</v>
      </c>
      <c r="I5" s="23" t="s">
        <v>1274</v>
      </c>
      <c r="J5" s="23" t="s">
        <v>1275</v>
      </c>
    </row>
    <row r="6">
      <c r="A6" s="16" t="s">
        <v>1276</v>
      </c>
      <c r="B6" s="23" t="s">
        <v>1277</v>
      </c>
      <c r="C6" s="16" t="s">
        <v>1278</v>
      </c>
      <c r="D6" s="16" t="s">
        <v>1276</v>
      </c>
      <c r="E6" s="26">
        <v>0.0</v>
      </c>
      <c r="F6" s="35">
        <v>46047.98072777777</v>
      </c>
      <c r="G6" s="16" t="b">
        <v>1</v>
      </c>
      <c r="H6" s="16" t="s">
        <v>1279</v>
      </c>
      <c r="I6" s="16" t="s">
        <v>1280</v>
      </c>
      <c r="J6" s="23" t="s">
        <v>1281</v>
      </c>
    </row>
    <row r="7">
      <c r="E7" s="28"/>
      <c r="F7" s="36"/>
    </row>
    <row r="8">
      <c r="E8" s="28"/>
      <c r="F8" s="36"/>
    </row>
    <row r="9">
      <c r="E9" s="28"/>
      <c r="F9" s="36"/>
    </row>
    <row r="10">
      <c r="E10" s="28"/>
      <c r="F10" s="36"/>
    </row>
    <row r="11">
      <c r="E11" s="28"/>
      <c r="F11" s="36"/>
    </row>
    <row r="12">
      <c r="E12" s="28"/>
      <c r="F12" s="36"/>
    </row>
    <row r="13">
      <c r="E13" s="28"/>
      <c r="F13" s="36"/>
    </row>
    <row r="14">
      <c r="E14" s="28"/>
      <c r="F14" s="36"/>
    </row>
    <row r="15">
      <c r="E15" s="28"/>
      <c r="F15" s="36"/>
    </row>
    <row r="16">
      <c r="E16" s="28"/>
      <c r="F16" s="36"/>
    </row>
    <row r="17">
      <c r="E17" s="28"/>
      <c r="F17" s="36"/>
    </row>
    <row r="18">
      <c r="E18" s="28"/>
      <c r="F18" s="36"/>
    </row>
    <row r="19">
      <c r="E19" s="28"/>
      <c r="F19" s="36"/>
    </row>
    <row r="20">
      <c r="E20" s="28"/>
      <c r="F20" s="36"/>
    </row>
    <row r="21">
      <c r="E21" s="28"/>
      <c r="F21" s="36"/>
    </row>
    <row r="22">
      <c r="E22" s="28"/>
      <c r="F22" s="36"/>
    </row>
    <row r="23">
      <c r="E23" s="28"/>
      <c r="F23" s="36"/>
    </row>
    <row r="24">
      <c r="E24" s="28"/>
      <c r="F24" s="36"/>
    </row>
    <row r="25">
      <c r="E25" s="28"/>
      <c r="F25" s="36"/>
    </row>
    <row r="26">
      <c r="E26" s="28"/>
      <c r="F26" s="36"/>
    </row>
    <row r="27">
      <c r="E27" s="28"/>
      <c r="F27" s="36"/>
    </row>
    <row r="28">
      <c r="E28" s="28"/>
      <c r="F28" s="36"/>
    </row>
    <row r="29">
      <c r="E29" s="28"/>
      <c r="F29" s="36"/>
    </row>
    <row r="30">
      <c r="E30" s="28"/>
      <c r="F30" s="36"/>
    </row>
    <row r="31">
      <c r="E31" s="28"/>
      <c r="F31" s="36"/>
    </row>
    <row r="32">
      <c r="E32" s="28"/>
      <c r="F32" s="36"/>
    </row>
    <row r="33">
      <c r="E33" s="28"/>
      <c r="F33" s="36"/>
    </row>
    <row r="34">
      <c r="E34" s="28"/>
      <c r="F34" s="36"/>
    </row>
    <row r="35">
      <c r="E35" s="28"/>
      <c r="F35" s="36"/>
    </row>
    <row r="36">
      <c r="E36" s="28"/>
      <c r="F36" s="36"/>
    </row>
    <row r="37">
      <c r="E37" s="28"/>
      <c r="F37" s="36"/>
    </row>
    <row r="38">
      <c r="E38" s="28"/>
      <c r="F38" s="36"/>
    </row>
    <row r="39">
      <c r="E39" s="28"/>
      <c r="F39" s="36"/>
    </row>
    <row r="40">
      <c r="E40" s="28"/>
      <c r="F40" s="36"/>
    </row>
    <row r="41">
      <c r="E41" s="28"/>
      <c r="F41" s="36"/>
    </row>
    <row r="42">
      <c r="E42" s="28"/>
      <c r="F42" s="36"/>
    </row>
    <row r="43">
      <c r="E43" s="28"/>
      <c r="F43" s="36"/>
    </row>
    <row r="44">
      <c r="E44" s="28"/>
      <c r="F44" s="36"/>
    </row>
    <row r="45">
      <c r="E45" s="28"/>
      <c r="F45" s="36"/>
    </row>
    <row r="46">
      <c r="E46" s="28"/>
      <c r="F46" s="36"/>
    </row>
    <row r="47">
      <c r="E47" s="28"/>
      <c r="F47" s="36"/>
    </row>
    <row r="48">
      <c r="E48" s="28"/>
      <c r="F48" s="36"/>
    </row>
    <row r="49">
      <c r="E49" s="28"/>
      <c r="F49" s="36"/>
    </row>
    <row r="50">
      <c r="E50" s="28"/>
      <c r="F50" s="36"/>
    </row>
    <row r="51">
      <c r="E51" s="28"/>
      <c r="F51" s="36"/>
    </row>
    <row r="52">
      <c r="E52" s="28"/>
      <c r="F52" s="36"/>
    </row>
    <row r="53">
      <c r="E53" s="28"/>
      <c r="F53" s="36"/>
    </row>
    <row r="54">
      <c r="E54" s="28"/>
      <c r="F54" s="36"/>
    </row>
    <row r="55">
      <c r="E55" s="28"/>
      <c r="F55" s="36"/>
    </row>
    <row r="56">
      <c r="E56" s="28"/>
      <c r="F56" s="36"/>
    </row>
    <row r="57">
      <c r="E57" s="28"/>
      <c r="F57" s="36"/>
    </row>
    <row r="58">
      <c r="E58" s="28"/>
      <c r="F58" s="36"/>
    </row>
    <row r="59">
      <c r="E59" s="28"/>
      <c r="F59" s="36"/>
    </row>
    <row r="60">
      <c r="E60" s="28"/>
      <c r="F60" s="36"/>
    </row>
    <row r="61">
      <c r="E61" s="28"/>
      <c r="F61" s="36"/>
    </row>
    <row r="62">
      <c r="E62" s="28"/>
      <c r="F62" s="36"/>
    </row>
    <row r="63">
      <c r="E63" s="28"/>
      <c r="F63" s="36"/>
    </row>
    <row r="64">
      <c r="E64" s="28"/>
      <c r="F64" s="36"/>
    </row>
    <row r="65">
      <c r="E65" s="28"/>
      <c r="F65" s="36"/>
    </row>
    <row r="66">
      <c r="E66" s="28"/>
      <c r="F66" s="36"/>
    </row>
    <row r="67">
      <c r="E67" s="28"/>
      <c r="F67" s="36"/>
    </row>
    <row r="68">
      <c r="E68" s="28"/>
      <c r="F68" s="36"/>
    </row>
    <row r="69">
      <c r="E69" s="28"/>
      <c r="F69" s="36"/>
    </row>
    <row r="70">
      <c r="E70" s="28"/>
      <c r="F70" s="36"/>
    </row>
    <row r="71">
      <c r="E71" s="28"/>
      <c r="F71" s="36"/>
    </row>
    <row r="72">
      <c r="E72" s="28"/>
      <c r="F72" s="36"/>
    </row>
    <row r="73">
      <c r="E73" s="28"/>
      <c r="F73" s="36"/>
    </row>
    <row r="74">
      <c r="E74" s="28"/>
      <c r="F74" s="36"/>
    </row>
    <row r="75">
      <c r="E75" s="28"/>
      <c r="F75" s="36"/>
    </row>
    <row r="76">
      <c r="E76" s="28"/>
      <c r="F76" s="36"/>
    </row>
    <row r="77">
      <c r="E77" s="28"/>
      <c r="F77" s="36"/>
    </row>
    <row r="78">
      <c r="E78" s="28"/>
      <c r="F78" s="36"/>
    </row>
    <row r="79">
      <c r="E79" s="28"/>
      <c r="F79" s="36"/>
    </row>
    <row r="80">
      <c r="E80" s="28"/>
      <c r="F80" s="36"/>
    </row>
    <row r="81">
      <c r="E81" s="28"/>
      <c r="F81" s="36"/>
    </row>
    <row r="82">
      <c r="E82" s="28"/>
      <c r="F82" s="36"/>
    </row>
    <row r="83">
      <c r="E83" s="28"/>
      <c r="F83" s="36"/>
    </row>
    <row r="84">
      <c r="E84" s="28"/>
      <c r="F84" s="36"/>
    </row>
    <row r="85">
      <c r="E85" s="28"/>
      <c r="F85" s="36"/>
    </row>
    <row r="86">
      <c r="E86" s="28"/>
      <c r="F86" s="36"/>
    </row>
    <row r="87">
      <c r="E87" s="28"/>
      <c r="F87" s="36"/>
    </row>
    <row r="88">
      <c r="E88" s="28"/>
      <c r="F88" s="36"/>
    </row>
    <row r="89">
      <c r="E89" s="28"/>
      <c r="F89" s="36"/>
    </row>
    <row r="90">
      <c r="E90" s="28"/>
      <c r="F90" s="36"/>
    </row>
    <row r="91">
      <c r="E91" s="28"/>
      <c r="F91" s="36"/>
    </row>
    <row r="92">
      <c r="E92" s="28"/>
      <c r="F92" s="36"/>
    </row>
    <row r="93">
      <c r="E93" s="28"/>
      <c r="F93" s="36"/>
    </row>
    <row r="94">
      <c r="E94" s="28"/>
      <c r="F94" s="36"/>
    </row>
    <row r="95">
      <c r="E95" s="28"/>
      <c r="F95" s="36"/>
    </row>
    <row r="96">
      <c r="E96" s="28"/>
      <c r="F96" s="36"/>
    </row>
    <row r="97">
      <c r="E97" s="28"/>
      <c r="F97" s="36"/>
    </row>
    <row r="98">
      <c r="E98" s="28"/>
      <c r="F98" s="36"/>
    </row>
    <row r="99">
      <c r="E99" s="28"/>
      <c r="F99" s="36"/>
    </row>
    <row r="100">
      <c r="E100" s="28"/>
      <c r="F100" s="36"/>
    </row>
    <row r="101">
      <c r="E101" s="28"/>
      <c r="F101" s="36"/>
    </row>
    <row r="102">
      <c r="E102" s="28"/>
      <c r="F102" s="36"/>
    </row>
    <row r="103">
      <c r="E103" s="28"/>
      <c r="F103" s="36"/>
    </row>
    <row r="104">
      <c r="E104" s="28"/>
      <c r="F104" s="36"/>
    </row>
    <row r="105">
      <c r="E105" s="28"/>
      <c r="F105" s="36"/>
    </row>
    <row r="106">
      <c r="E106" s="28"/>
      <c r="F106" s="36"/>
    </row>
    <row r="107">
      <c r="E107" s="28"/>
      <c r="F107" s="36"/>
    </row>
    <row r="108">
      <c r="E108" s="28"/>
      <c r="F108" s="36"/>
    </row>
    <row r="109">
      <c r="E109" s="28"/>
      <c r="F109" s="36"/>
    </row>
    <row r="110">
      <c r="E110" s="28"/>
      <c r="F110" s="36"/>
    </row>
    <row r="111">
      <c r="E111" s="28"/>
      <c r="F111" s="36"/>
    </row>
    <row r="112">
      <c r="E112" s="28"/>
      <c r="F112" s="36"/>
    </row>
    <row r="113">
      <c r="E113" s="28"/>
      <c r="F113" s="36"/>
    </row>
    <row r="114">
      <c r="E114" s="28"/>
      <c r="F114" s="36"/>
    </row>
    <row r="115">
      <c r="E115" s="28"/>
      <c r="F115" s="36"/>
    </row>
    <row r="116">
      <c r="E116" s="28"/>
      <c r="F116" s="36"/>
    </row>
    <row r="117">
      <c r="E117" s="28"/>
      <c r="F117" s="36"/>
    </row>
    <row r="118">
      <c r="E118" s="28"/>
      <c r="F118" s="36"/>
    </row>
    <row r="119">
      <c r="E119" s="28"/>
      <c r="F119" s="36"/>
    </row>
    <row r="120">
      <c r="E120" s="28"/>
      <c r="F120" s="36"/>
    </row>
    <row r="121">
      <c r="E121" s="28"/>
      <c r="F121" s="36"/>
    </row>
    <row r="122">
      <c r="E122" s="28"/>
      <c r="F122" s="36"/>
    </row>
    <row r="123">
      <c r="E123" s="28"/>
      <c r="F123" s="36"/>
    </row>
    <row r="124">
      <c r="E124" s="28"/>
      <c r="F124" s="36"/>
    </row>
    <row r="125">
      <c r="E125" s="28"/>
      <c r="F125" s="36"/>
    </row>
    <row r="126">
      <c r="E126" s="28"/>
      <c r="F126" s="36"/>
    </row>
    <row r="127">
      <c r="E127" s="28"/>
      <c r="F127" s="36"/>
    </row>
    <row r="128">
      <c r="E128" s="28"/>
      <c r="F128" s="36"/>
    </row>
    <row r="129">
      <c r="E129" s="28"/>
      <c r="F129" s="36"/>
    </row>
    <row r="130">
      <c r="E130" s="28"/>
      <c r="F130" s="36"/>
    </row>
    <row r="131">
      <c r="E131" s="28"/>
      <c r="F131" s="36"/>
    </row>
    <row r="132">
      <c r="E132" s="28"/>
      <c r="F132" s="36"/>
    </row>
    <row r="133">
      <c r="E133" s="28"/>
      <c r="F133" s="36"/>
    </row>
    <row r="134">
      <c r="E134" s="28"/>
      <c r="F134" s="36"/>
    </row>
    <row r="135">
      <c r="E135" s="28"/>
      <c r="F135" s="36"/>
    </row>
    <row r="136">
      <c r="E136" s="28"/>
      <c r="F136" s="36"/>
    </row>
    <row r="137">
      <c r="E137" s="28"/>
      <c r="F137" s="36"/>
    </row>
    <row r="138">
      <c r="E138" s="28"/>
      <c r="F138" s="36"/>
    </row>
    <row r="139">
      <c r="E139" s="28"/>
      <c r="F139" s="36"/>
    </row>
    <row r="140">
      <c r="E140" s="28"/>
      <c r="F140" s="36"/>
    </row>
    <row r="141">
      <c r="E141" s="28"/>
      <c r="F141" s="36"/>
    </row>
    <row r="142">
      <c r="E142" s="28"/>
      <c r="F142" s="36"/>
    </row>
    <row r="143">
      <c r="E143" s="28"/>
      <c r="F143" s="36"/>
    </row>
    <row r="144">
      <c r="E144" s="28"/>
      <c r="F144" s="36"/>
    </row>
    <row r="145">
      <c r="E145" s="28"/>
      <c r="F145" s="36"/>
    </row>
    <row r="146">
      <c r="E146" s="28"/>
      <c r="F146" s="36"/>
    </row>
    <row r="147">
      <c r="E147" s="28"/>
      <c r="F147" s="36"/>
    </row>
    <row r="148">
      <c r="E148" s="28"/>
      <c r="F148" s="36"/>
    </row>
    <row r="149">
      <c r="E149" s="28"/>
      <c r="F149" s="36"/>
    </row>
    <row r="150">
      <c r="E150" s="28"/>
      <c r="F150" s="36"/>
    </row>
    <row r="151">
      <c r="E151" s="28"/>
      <c r="F151" s="36"/>
    </row>
    <row r="152">
      <c r="E152" s="28"/>
      <c r="F152" s="36"/>
    </row>
    <row r="153">
      <c r="E153" s="28"/>
      <c r="F153" s="36"/>
    </row>
    <row r="154">
      <c r="E154" s="28"/>
      <c r="F154" s="36"/>
    </row>
    <row r="155">
      <c r="E155" s="28"/>
      <c r="F155" s="36"/>
    </row>
    <row r="156">
      <c r="E156" s="28"/>
      <c r="F156" s="36"/>
    </row>
    <row r="157">
      <c r="E157" s="28"/>
      <c r="F157" s="36"/>
    </row>
    <row r="158">
      <c r="E158" s="28"/>
      <c r="F158" s="36"/>
    </row>
    <row r="159">
      <c r="E159" s="28"/>
      <c r="F159" s="36"/>
    </row>
    <row r="160">
      <c r="E160" s="28"/>
      <c r="F160" s="36"/>
    </row>
    <row r="161">
      <c r="E161" s="28"/>
      <c r="F161" s="36"/>
    </row>
    <row r="162">
      <c r="E162" s="28"/>
      <c r="F162" s="36"/>
    </row>
    <row r="163">
      <c r="E163" s="28"/>
      <c r="F163" s="36"/>
    </row>
    <row r="164">
      <c r="E164" s="28"/>
      <c r="F164" s="36"/>
    </row>
    <row r="165">
      <c r="E165" s="28"/>
      <c r="F165" s="36"/>
    </row>
    <row r="166">
      <c r="E166" s="28"/>
      <c r="F166" s="36"/>
    </row>
    <row r="167">
      <c r="E167" s="28"/>
      <c r="F167" s="36"/>
    </row>
    <row r="168">
      <c r="E168" s="28"/>
      <c r="F168" s="36"/>
    </row>
    <row r="169">
      <c r="E169" s="28"/>
      <c r="F169" s="36"/>
    </row>
    <row r="170">
      <c r="E170" s="28"/>
      <c r="F170" s="36"/>
    </row>
    <row r="171">
      <c r="E171" s="28"/>
      <c r="F171" s="36"/>
    </row>
    <row r="172">
      <c r="E172" s="28"/>
      <c r="F172" s="36"/>
    </row>
    <row r="173">
      <c r="E173" s="28"/>
      <c r="F173" s="36"/>
    </row>
    <row r="174">
      <c r="E174" s="28"/>
      <c r="F174" s="36"/>
    </row>
    <row r="175">
      <c r="E175" s="28"/>
      <c r="F175" s="36"/>
    </row>
    <row r="176">
      <c r="E176" s="28"/>
      <c r="F176" s="36"/>
    </row>
    <row r="177">
      <c r="E177" s="28"/>
      <c r="F177" s="36"/>
    </row>
    <row r="178">
      <c r="E178" s="28"/>
      <c r="F178" s="36"/>
    </row>
    <row r="179">
      <c r="E179" s="28"/>
      <c r="F179" s="36"/>
    </row>
    <row r="180">
      <c r="E180" s="28"/>
      <c r="F180" s="36"/>
    </row>
    <row r="181">
      <c r="E181" s="28"/>
      <c r="F181" s="36"/>
    </row>
    <row r="182">
      <c r="E182" s="28"/>
      <c r="F182" s="36"/>
    </row>
    <row r="183">
      <c r="E183" s="28"/>
      <c r="F183" s="36"/>
    </row>
    <row r="184">
      <c r="E184" s="28"/>
      <c r="F184" s="36"/>
    </row>
    <row r="185">
      <c r="E185" s="28"/>
      <c r="F185" s="36"/>
    </row>
    <row r="186">
      <c r="E186" s="28"/>
      <c r="F186" s="36"/>
    </row>
    <row r="187">
      <c r="E187" s="28"/>
      <c r="F187" s="36"/>
    </row>
    <row r="188">
      <c r="E188" s="28"/>
      <c r="F188" s="36"/>
    </row>
    <row r="189">
      <c r="E189" s="28"/>
      <c r="F189" s="36"/>
    </row>
    <row r="190">
      <c r="E190" s="28"/>
      <c r="F190" s="36"/>
    </row>
    <row r="191">
      <c r="E191" s="28"/>
      <c r="F191" s="36"/>
    </row>
    <row r="192">
      <c r="E192" s="28"/>
      <c r="F192" s="36"/>
    </row>
    <row r="193">
      <c r="E193" s="28"/>
      <c r="F193" s="36"/>
    </row>
    <row r="194">
      <c r="E194" s="28"/>
      <c r="F194" s="36"/>
    </row>
    <row r="195">
      <c r="E195" s="28"/>
      <c r="F195" s="36"/>
    </row>
    <row r="196">
      <c r="E196" s="28"/>
      <c r="F196" s="36"/>
    </row>
    <row r="197">
      <c r="E197" s="28"/>
      <c r="F197" s="36"/>
    </row>
    <row r="198">
      <c r="E198" s="28"/>
      <c r="F198" s="36"/>
    </row>
    <row r="199">
      <c r="E199" s="28"/>
      <c r="F199" s="36"/>
    </row>
    <row r="200">
      <c r="E200" s="28"/>
      <c r="F200" s="36"/>
    </row>
    <row r="201">
      <c r="E201" s="28"/>
      <c r="F201" s="36"/>
    </row>
    <row r="202">
      <c r="E202" s="28"/>
      <c r="F202" s="36"/>
    </row>
    <row r="203">
      <c r="E203" s="28"/>
      <c r="F203" s="36"/>
    </row>
    <row r="204">
      <c r="E204" s="28"/>
      <c r="F204" s="36"/>
    </row>
    <row r="205">
      <c r="E205" s="28"/>
      <c r="F205" s="36"/>
    </row>
    <row r="206">
      <c r="E206" s="28"/>
      <c r="F206" s="36"/>
    </row>
    <row r="207">
      <c r="E207" s="28"/>
      <c r="F207" s="36"/>
    </row>
    <row r="208">
      <c r="E208" s="28"/>
      <c r="F208" s="36"/>
    </row>
    <row r="209">
      <c r="E209" s="28"/>
      <c r="F209" s="36"/>
    </row>
    <row r="210">
      <c r="E210" s="28"/>
      <c r="F210" s="36"/>
    </row>
    <row r="211">
      <c r="E211" s="28"/>
      <c r="F211" s="36"/>
    </row>
    <row r="212">
      <c r="E212" s="28"/>
      <c r="F212" s="36"/>
    </row>
    <row r="213">
      <c r="E213" s="28"/>
      <c r="F213" s="36"/>
    </row>
    <row r="214">
      <c r="E214" s="28"/>
      <c r="F214" s="36"/>
    </row>
    <row r="215">
      <c r="E215" s="28"/>
      <c r="F215" s="36"/>
    </row>
    <row r="216">
      <c r="E216" s="28"/>
      <c r="F216" s="36"/>
    </row>
    <row r="217">
      <c r="E217" s="28"/>
      <c r="F217" s="36"/>
    </row>
    <row r="218">
      <c r="E218" s="28"/>
      <c r="F218" s="36"/>
    </row>
    <row r="219">
      <c r="E219" s="28"/>
      <c r="F219" s="36"/>
    </row>
    <row r="220">
      <c r="E220" s="28"/>
      <c r="F220" s="36"/>
    </row>
    <row r="221">
      <c r="E221" s="28"/>
      <c r="F221" s="36"/>
    </row>
    <row r="222">
      <c r="E222" s="28"/>
      <c r="F222" s="36"/>
    </row>
    <row r="223">
      <c r="E223" s="28"/>
      <c r="F223" s="36"/>
    </row>
    <row r="224">
      <c r="E224" s="28"/>
      <c r="F224" s="36"/>
    </row>
    <row r="225">
      <c r="E225" s="28"/>
      <c r="F225" s="36"/>
    </row>
    <row r="226">
      <c r="E226" s="28"/>
      <c r="F226" s="36"/>
    </row>
    <row r="227">
      <c r="E227" s="28"/>
      <c r="F227" s="36"/>
    </row>
    <row r="228">
      <c r="E228" s="28"/>
      <c r="F228" s="36"/>
    </row>
    <row r="229">
      <c r="E229" s="28"/>
      <c r="F229" s="36"/>
    </row>
    <row r="230">
      <c r="E230" s="28"/>
      <c r="F230" s="36"/>
    </row>
    <row r="231">
      <c r="E231" s="28"/>
      <c r="F231" s="36"/>
    </row>
    <row r="232">
      <c r="E232" s="28"/>
      <c r="F232" s="36"/>
    </row>
    <row r="233">
      <c r="E233" s="28"/>
      <c r="F233" s="36"/>
    </row>
    <row r="234">
      <c r="E234" s="28"/>
      <c r="F234" s="36"/>
    </row>
    <row r="235">
      <c r="E235" s="28"/>
      <c r="F235" s="36"/>
    </row>
    <row r="236">
      <c r="E236" s="28"/>
      <c r="F236" s="36"/>
    </row>
    <row r="237">
      <c r="E237" s="28"/>
      <c r="F237" s="36"/>
    </row>
    <row r="238">
      <c r="E238" s="28"/>
      <c r="F238" s="36"/>
    </row>
    <row r="239">
      <c r="E239" s="28"/>
      <c r="F239" s="36"/>
    </row>
    <row r="240">
      <c r="E240" s="28"/>
      <c r="F240" s="36"/>
    </row>
    <row r="241">
      <c r="E241" s="28"/>
      <c r="F241" s="36"/>
    </row>
    <row r="242">
      <c r="E242" s="28"/>
      <c r="F242" s="36"/>
    </row>
    <row r="243">
      <c r="E243" s="28"/>
      <c r="F243" s="36"/>
    </row>
    <row r="244">
      <c r="E244" s="28"/>
      <c r="F244" s="36"/>
    </row>
    <row r="245">
      <c r="E245" s="28"/>
      <c r="F245" s="36"/>
    </row>
    <row r="246">
      <c r="E246" s="28"/>
      <c r="F246" s="36"/>
    </row>
    <row r="247">
      <c r="E247" s="28"/>
      <c r="F247" s="36"/>
    </row>
    <row r="248">
      <c r="E248" s="28"/>
      <c r="F248" s="36"/>
    </row>
    <row r="249">
      <c r="E249" s="28"/>
      <c r="F249" s="36"/>
    </row>
    <row r="250">
      <c r="E250" s="28"/>
      <c r="F250" s="36"/>
    </row>
    <row r="251">
      <c r="E251" s="28"/>
      <c r="F251" s="36"/>
    </row>
    <row r="252">
      <c r="E252" s="28"/>
      <c r="F252" s="36"/>
    </row>
    <row r="253">
      <c r="E253" s="28"/>
      <c r="F253" s="36"/>
    </row>
    <row r="254">
      <c r="E254" s="28"/>
      <c r="F254" s="36"/>
    </row>
    <row r="255">
      <c r="E255" s="28"/>
      <c r="F255" s="36"/>
    </row>
    <row r="256">
      <c r="E256" s="28"/>
      <c r="F256" s="36"/>
    </row>
    <row r="257">
      <c r="E257" s="28"/>
      <c r="F257" s="36"/>
    </row>
    <row r="258">
      <c r="E258" s="28"/>
      <c r="F258" s="36"/>
    </row>
    <row r="259">
      <c r="E259" s="28"/>
      <c r="F259" s="36"/>
    </row>
    <row r="260">
      <c r="E260" s="28"/>
      <c r="F260" s="36"/>
    </row>
    <row r="261">
      <c r="E261" s="28"/>
      <c r="F261" s="36"/>
    </row>
    <row r="262">
      <c r="E262" s="28"/>
      <c r="F262" s="36"/>
    </row>
    <row r="263">
      <c r="E263" s="28"/>
      <c r="F263" s="36"/>
    </row>
    <row r="264">
      <c r="E264" s="28"/>
      <c r="F264" s="36"/>
    </row>
    <row r="265">
      <c r="E265" s="28"/>
      <c r="F265" s="36"/>
    </row>
    <row r="266">
      <c r="E266" s="28"/>
      <c r="F266" s="36"/>
    </row>
    <row r="267">
      <c r="E267" s="28"/>
      <c r="F267" s="36"/>
    </row>
    <row r="268">
      <c r="E268" s="28"/>
      <c r="F268" s="36"/>
    </row>
    <row r="269">
      <c r="E269" s="28"/>
      <c r="F269" s="36"/>
    </row>
    <row r="270">
      <c r="E270" s="28"/>
      <c r="F270" s="36"/>
    </row>
    <row r="271">
      <c r="E271" s="28"/>
      <c r="F271" s="36"/>
    </row>
    <row r="272">
      <c r="E272" s="28"/>
      <c r="F272" s="36"/>
    </row>
    <row r="273">
      <c r="E273" s="28"/>
      <c r="F273" s="36"/>
    </row>
    <row r="274">
      <c r="E274" s="28"/>
      <c r="F274" s="36"/>
    </row>
    <row r="275">
      <c r="E275" s="28"/>
      <c r="F275" s="36"/>
    </row>
    <row r="276">
      <c r="E276" s="28"/>
      <c r="F276" s="36"/>
    </row>
    <row r="277">
      <c r="E277" s="28"/>
      <c r="F277" s="36"/>
    </row>
    <row r="278">
      <c r="E278" s="28"/>
      <c r="F278" s="36"/>
    </row>
    <row r="279">
      <c r="E279" s="28"/>
      <c r="F279" s="36"/>
    </row>
    <row r="280">
      <c r="E280" s="28"/>
      <c r="F280" s="36"/>
    </row>
    <row r="281">
      <c r="E281" s="28"/>
      <c r="F281" s="36"/>
    </row>
    <row r="282">
      <c r="E282" s="28"/>
      <c r="F282" s="36"/>
    </row>
    <row r="283">
      <c r="E283" s="28"/>
      <c r="F283" s="36"/>
    </row>
    <row r="284">
      <c r="E284" s="28"/>
      <c r="F284" s="36"/>
    </row>
    <row r="285">
      <c r="E285" s="28"/>
      <c r="F285" s="36"/>
    </row>
    <row r="286">
      <c r="E286" s="28"/>
      <c r="F286" s="36"/>
    </row>
    <row r="287">
      <c r="E287" s="28"/>
      <c r="F287" s="36"/>
    </row>
    <row r="288">
      <c r="E288" s="28"/>
      <c r="F288" s="36"/>
    </row>
    <row r="289">
      <c r="E289" s="28"/>
      <c r="F289" s="36"/>
    </row>
    <row r="290">
      <c r="E290" s="28"/>
      <c r="F290" s="36"/>
    </row>
    <row r="291">
      <c r="E291" s="28"/>
      <c r="F291" s="36"/>
    </row>
    <row r="292">
      <c r="E292" s="28"/>
      <c r="F292" s="36"/>
    </row>
    <row r="293">
      <c r="E293" s="28"/>
      <c r="F293" s="36"/>
    </row>
    <row r="294">
      <c r="E294" s="28"/>
      <c r="F294" s="36"/>
    </row>
    <row r="295">
      <c r="E295" s="28"/>
      <c r="F295" s="36"/>
    </row>
    <row r="296">
      <c r="E296" s="28"/>
      <c r="F296" s="36"/>
    </row>
    <row r="297">
      <c r="E297" s="28"/>
      <c r="F297" s="36"/>
    </row>
    <row r="298">
      <c r="E298" s="28"/>
      <c r="F298" s="36"/>
    </row>
    <row r="299">
      <c r="E299" s="28"/>
      <c r="F299" s="36"/>
    </row>
    <row r="300">
      <c r="E300" s="28"/>
      <c r="F300" s="36"/>
    </row>
    <row r="301">
      <c r="E301" s="28"/>
      <c r="F301" s="36"/>
    </row>
    <row r="302">
      <c r="E302" s="28"/>
      <c r="F302" s="36"/>
    </row>
    <row r="303">
      <c r="E303" s="28"/>
      <c r="F303" s="36"/>
    </row>
    <row r="304">
      <c r="E304" s="28"/>
      <c r="F304" s="36"/>
    </row>
    <row r="305">
      <c r="E305" s="28"/>
      <c r="F305" s="36"/>
    </row>
    <row r="306">
      <c r="E306" s="28"/>
      <c r="F306" s="36"/>
    </row>
    <row r="307">
      <c r="E307" s="28"/>
      <c r="F307" s="36"/>
    </row>
    <row r="308">
      <c r="E308" s="28"/>
      <c r="F308" s="36"/>
    </row>
    <row r="309">
      <c r="E309" s="28"/>
      <c r="F309" s="36"/>
    </row>
    <row r="310">
      <c r="E310" s="28"/>
      <c r="F310" s="36"/>
    </row>
    <row r="311">
      <c r="E311" s="28"/>
      <c r="F311" s="36"/>
    </row>
    <row r="312">
      <c r="E312" s="28"/>
      <c r="F312" s="36"/>
    </row>
    <row r="313">
      <c r="E313" s="28"/>
      <c r="F313" s="36"/>
    </row>
    <row r="314">
      <c r="E314" s="28"/>
      <c r="F314" s="36"/>
    </row>
    <row r="315">
      <c r="E315" s="28"/>
      <c r="F315" s="36"/>
    </row>
    <row r="316">
      <c r="E316" s="28"/>
      <c r="F316" s="36"/>
    </row>
    <row r="317">
      <c r="E317" s="28"/>
      <c r="F317" s="36"/>
    </row>
    <row r="318">
      <c r="E318" s="28"/>
      <c r="F318" s="36"/>
    </row>
    <row r="319">
      <c r="E319" s="28"/>
      <c r="F319" s="36"/>
    </row>
    <row r="320">
      <c r="E320" s="28"/>
      <c r="F320" s="36"/>
    </row>
    <row r="321">
      <c r="E321" s="28"/>
      <c r="F321" s="36"/>
    </row>
    <row r="322">
      <c r="E322" s="28"/>
      <c r="F322" s="36"/>
    </row>
    <row r="323">
      <c r="E323" s="28"/>
      <c r="F323" s="36"/>
    </row>
    <row r="324">
      <c r="E324" s="28"/>
      <c r="F324" s="36"/>
    </row>
    <row r="325">
      <c r="E325" s="28"/>
      <c r="F325" s="36"/>
    </row>
    <row r="326">
      <c r="E326" s="28"/>
      <c r="F326" s="36"/>
    </row>
    <row r="327">
      <c r="E327" s="28"/>
      <c r="F327" s="36"/>
    </row>
    <row r="328">
      <c r="E328" s="28"/>
      <c r="F328" s="36"/>
    </row>
    <row r="329">
      <c r="E329" s="28"/>
      <c r="F329" s="36"/>
    </row>
    <row r="330">
      <c r="E330" s="28"/>
      <c r="F330" s="36"/>
    </row>
    <row r="331">
      <c r="E331" s="28"/>
      <c r="F331" s="36"/>
    </row>
    <row r="332">
      <c r="E332" s="28"/>
      <c r="F332" s="36"/>
    </row>
    <row r="333">
      <c r="E333" s="28"/>
      <c r="F333" s="36"/>
    </row>
    <row r="334">
      <c r="E334" s="28"/>
      <c r="F334" s="36"/>
    </row>
    <row r="335">
      <c r="E335" s="28"/>
      <c r="F335" s="36"/>
    </row>
    <row r="336">
      <c r="E336" s="28"/>
      <c r="F336" s="36"/>
    </row>
    <row r="337">
      <c r="E337" s="28"/>
      <c r="F337" s="36"/>
    </row>
    <row r="338">
      <c r="E338" s="28"/>
      <c r="F338" s="36"/>
    </row>
    <row r="339">
      <c r="E339" s="28"/>
      <c r="F339" s="36"/>
    </row>
    <row r="340">
      <c r="E340" s="28"/>
      <c r="F340" s="36"/>
    </row>
    <row r="341">
      <c r="E341" s="28"/>
      <c r="F341" s="36"/>
    </row>
    <row r="342">
      <c r="E342" s="28"/>
      <c r="F342" s="36"/>
    </row>
    <row r="343">
      <c r="E343" s="28"/>
      <c r="F343" s="36"/>
    </row>
    <row r="344">
      <c r="E344" s="28"/>
      <c r="F344" s="36"/>
    </row>
    <row r="345">
      <c r="E345" s="28"/>
      <c r="F345" s="36"/>
    </row>
    <row r="346">
      <c r="E346" s="28"/>
      <c r="F346" s="36"/>
    </row>
    <row r="347">
      <c r="E347" s="28"/>
      <c r="F347" s="36"/>
    </row>
    <row r="348">
      <c r="E348" s="28"/>
      <c r="F348" s="36"/>
    </row>
    <row r="349">
      <c r="E349" s="28"/>
      <c r="F349" s="36"/>
    </row>
    <row r="350">
      <c r="E350" s="28"/>
      <c r="F350" s="36"/>
    </row>
    <row r="351">
      <c r="E351" s="28"/>
      <c r="F351" s="36"/>
    </row>
    <row r="352">
      <c r="E352" s="28"/>
      <c r="F352" s="36"/>
    </row>
    <row r="353">
      <c r="E353" s="28"/>
      <c r="F353" s="36"/>
    </row>
    <row r="354">
      <c r="E354" s="28"/>
      <c r="F354" s="36"/>
    </row>
    <row r="355">
      <c r="E355" s="28"/>
      <c r="F355" s="36"/>
    </row>
    <row r="356">
      <c r="E356" s="28"/>
      <c r="F356" s="36"/>
    </row>
    <row r="357">
      <c r="E357" s="28"/>
      <c r="F357" s="36"/>
    </row>
    <row r="358">
      <c r="E358" s="28"/>
      <c r="F358" s="36"/>
    </row>
    <row r="359">
      <c r="E359" s="28"/>
      <c r="F359" s="36"/>
    </row>
    <row r="360">
      <c r="E360" s="28"/>
      <c r="F360" s="36"/>
    </row>
    <row r="361">
      <c r="E361" s="28"/>
      <c r="F361" s="36"/>
    </row>
    <row r="362">
      <c r="E362" s="28"/>
      <c r="F362" s="36"/>
    </row>
    <row r="363">
      <c r="E363" s="28"/>
      <c r="F363" s="36"/>
    </row>
    <row r="364">
      <c r="E364" s="28"/>
      <c r="F364" s="36"/>
    </row>
    <row r="365">
      <c r="E365" s="28"/>
      <c r="F365" s="36"/>
    </row>
    <row r="366">
      <c r="E366" s="28"/>
      <c r="F366" s="36"/>
    </row>
    <row r="367">
      <c r="E367" s="28"/>
      <c r="F367" s="36"/>
    </row>
    <row r="368">
      <c r="E368" s="28"/>
      <c r="F368" s="36"/>
    </row>
    <row r="369">
      <c r="E369" s="28"/>
      <c r="F369" s="36"/>
    </row>
    <row r="370">
      <c r="E370" s="28"/>
      <c r="F370" s="36"/>
    </row>
    <row r="371">
      <c r="E371" s="28"/>
      <c r="F371" s="36"/>
    </row>
    <row r="372">
      <c r="E372" s="28"/>
      <c r="F372" s="36"/>
    </row>
    <row r="373">
      <c r="E373" s="28"/>
      <c r="F373" s="36"/>
    </row>
    <row r="374">
      <c r="E374" s="28"/>
      <c r="F374" s="36"/>
    </row>
    <row r="375">
      <c r="E375" s="28"/>
      <c r="F375" s="36"/>
    </row>
    <row r="376">
      <c r="E376" s="28"/>
      <c r="F376" s="36"/>
    </row>
    <row r="377">
      <c r="E377" s="28"/>
      <c r="F377" s="36"/>
    </row>
    <row r="378">
      <c r="E378" s="28"/>
      <c r="F378" s="36"/>
    </row>
    <row r="379">
      <c r="E379" s="28"/>
      <c r="F379" s="36"/>
    </row>
    <row r="380">
      <c r="E380" s="28"/>
      <c r="F380" s="36"/>
    </row>
    <row r="381">
      <c r="E381" s="28"/>
      <c r="F381" s="36"/>
    </row>
    <row r="382">
      <c r="E382" s="28"/>
      <c r="F382" s="36"/>
    </row>
    <row r="383">
      <c r="E383" s="28"/>
      <c r="F383" s="36"/>
    </row>
    <row r="384">
      <c r="E384" s="28"/>
      <c r="F384" s="36"/>
    </row>
    <row r="385">
      <c r="E385" s="28"/>
      <c r="F385" s="36"/>
    </row>
    <row r="386">
      <c r="E386" s="28"/>
      <c r="F386" s="36"/>
    </row>
    <row r="387">
      <c r="E387" s="28"/>
      <c r="F387" s="36"/>
    </row>
    <row r="388">
      <c r="E388" s="28"/>
      <c r="F388" s="36"/>
    </row>
    <row r="389">
      <c r="E389" s="28"/>
      <c r="F389" s="36"/>
    </row>
    <row r="390">
      <c r="E390" s="28"/>
      <c r="F390" s="36"/>
    </row>
    <row r="391">
      <c r="E391" s="28"/>
      <c r="F391" s="36"/>
    </row>
    <row r="392">
      <c r="E392" s="28"/>
      <c r="F392" s="36"/>
    </row>
    <row r="393">
      <c r="E393" s="28"/>
      <c r="F393" s="36"/>
    </row>
    <row r="394">
      <c r="E394" s="28"/>
      <c r="F394" s="36"/>
    </row>
    <row r="395">
      <c r="E395" s="28"/>
      <c r="F395" s="36"/>
    </row>
    <row r="396">
      <c r="E396" s="28"/>
      <c r="F396" s="36"/>
    </row>
    <row r="397">
      <c r="E397" s="28"/>
      <c r="F397" s="36"/>
    </row>
    <row r="398">
      <c r="E398" s="28"/>
      <c r="F398" s="36"/>
    </row>
    <row r="399">
      <c r="E399" s="28"/>
      <c r="F399" s="36"/>
    </row>
    <row r="400">
      <c r="E400" s="28"/>
      <c r="F400" s="36"/>
    </row>
    <row r="401">
      <c r="E401" s="28"/>
      <c r="F401" s="36"/>
    </row>
    <row r="402">
      <c r="E402" s="28"/>
      <c r="F402" s="36"/>
    </row>
    <row r="403">
      <c r="E403" s="28"/>
      <c r="F403" s="36"/>
    </row>
    <row r="404">
      <c r="E404" s="28"/>
      <c r="F404" s="36"/>
    </row>
    <row r="405">
      <c r="E405" s="28"/>
      <c r="F405" s="36"/>
    </row>
    <row r="406">
      <c r="E406" s="28"/>
      <c r="F406" s="36"/>
    </row>
    <row r="407">
      <c r="E407" s="28"/>
      <c r="F407" s="36"/>
    </row>
    <row r="408">
      <c r="E408" s="28"/>
      <c r="F408" s="36"/>
    </row>
    <row r="409">
      <c r="E409" s="28"/>
      <c r="F409" s="36"/>
    </row>
    <row r="410">
      <c r="E410" s="28"/>
      <c r="F410" s="36"/>
    </row>
    <row r="411">
      <c r="E411" s="28"/>
      <c r="F411" s="36"/>
    </row>
    <row r="412">
      <c r="E412" s="28"/>
      <c r="F412" s="36"/>
    </row>
    <row r="413">
      <c r="E413" s="28"/>
      <c r="F413" s="36"/>
    </row>
    <row r="414">
      <c r="E414" s="28"/>
      <c r="F414" s="36"/>
    </row>
    <row r="415">
      <c r="E415" s="28"/>
      <c r="F415" s="36"/>
    </row>
    <row r="416">
      <c r="E416" s="28"/>
      <c r="F416" s="36"/>
    </row>
    <row r="417">
      <c r="E417" s="28"/>
      <c r="F417" s="36"/>
    </row>
    <row r="418">
      <c r="E418" s="28"/>
      <c r="F418" s="36"/>
    </row>
    <row r="419">
      <c r="E419" s="28"/>
      <c r="F419" s="36"/>
    </row>
    <row r="420">
      <c r="E420" s="28"/>
      <c r="F420" s="36"/>
    </row>
    <row r="421">
      <c r="E421" s="28"/>
      <c r="F421" s="36"/>
    </row>
    <row r="422">
      <c r="E422" s="28"/>
      <c r="F422" s="36"/>
    </row>
    <row r="423">
      <c r="E423" s="28"/>
      <c r="F423" s="36"/>
    </row>
    <row r="424">
      <c r="E424" s="28"/>
      <c r="F424" s="36"/>
    </row>
    <row r="425">
      <c r="E425" s="28"/>
      <c r="F425" s="36"/>
    </row>
    <row r="426">
      <c r="E426" s="28"/>
      <c r="F426" s="36"/>
    </row>
    <row r="427">
      <c r="E427" s="28"/>
      <c r="F427" s="36"/>
    </row>
    <row r="428">
      <c r="E428" s="28"/>
      <c r="F428" s="36"/>
    </row>
    <row r="429">
      <c r="E429" s="28"/>
      <c r="F429" s="36"/>
    </row>
    <row r="430">
      <c r="E430" s="28"/>
      <c r="F430" s="36"/>
    </row>
    <row r="431">
      <c r="E431" s="28"/>
      <c r="F431" s="36"/>
    </row>
    <row r="432">
      <c r="E432" s="28"/>
      <c r="F432" s="36"/>
    </row>
    <row r="433">
      <c r="E433" s="28"/>
      <c r="F433" s="36"/>
    </row>
    <row r="434">
      <c r="E434" s="28"/>
      <c r="F434" s="36"/>
    </row>
    <row r="435">
      <c r="E435" s="28"/>
      <c r="F435" s="36"/>
    </row>
    <row r="436">
      <c r="E436" s="28"/>
      <c r="F436" s="36"/>
    </row>
    <row r="437">
      <c r="E437" s="28"/>
      <c r="F437" s="36"/>
    </row>
    <row r="438">
      <c r="E438" s="28"/>
      <c r="F438" s="36"/>
    </row>
    <row r="439">
      <c r="E439" s="28"/>
      <c r="F439" s="36"/>
    </row>
    <row r="440">
      <c r="E440" s="28"/>
      <c r="F440" s="36"/>
    </row>
    <row r="441">
      <c r="E441" s="28"/>
      <c r="F441" s="36"/>
    </row>
    <row r="442">
      <c r="E442" s="28"/>
      <c r="F442" s="36"/>
    </row>
    <row r="443">
      <c r="E443" s="28"/>
      <c r="F443" s="36"/>
    </row>
    <row r="444">
      <c r="E444" s="28"/>
      <c r="F444" s="36"/>
    </row>
    <row r="445">
      <c r="E445" s="28"/>
      <c r="F445" s="36"/>
    </row>
    <row r="446">
      <c r="E446" s="28"/>
      <c r="F446" s="36"/>
    </row>
    <row r="447">
      <c r="E447" s="28"/>
      <c r="F447" s="36"/>
    </row>
    <row r="448">
      <c r="E448" s="28"/>
      <c r="F448" s="36"/>
    </row>
    <row r="449">
      <c r="E449" s="28"/>
      <c r="F449" s="36"/>
    </row>
    <row r="450">
      <c r="E450" s="28"/>
      <c r="F450" s="36"/>
    </row>
    <row r="451">
      <c r="E451" s="28"/>
      <c r="F451" s="36"/>
    </row>
    <row r="452">
      <c r="E452" s="28"/>
      <c r="F452" s="36"/>
    </row>
    <row r="453">
      <c r="E453" s="28"/>
      <c r="F453" s="36"/>
    </row>
    <row r="454">
      <c r="E454" s="28"/>
      <c r="F454" s="36"/>
    </row>
    <row r="455">
      <c r="E455" s="28"/>
      <c r="F455" s="36"/>
    </row>
    <row r="456">
      <c r="E456" s="28"/>
      <c r="F456" s="36"/>
    </row>
    <row r="457">
      <c r="E457" s="28"/>
      <c r="F457" s="36"/>
    </row>
    <row r="458">
      <c r="E458" s="28"/>
      <c r="F458" s="36"/>
    </row>
    <row r="459">
      <c r="E459" s="28"/>
      <c r="F459" s="36"/>
    </row>
    <row r="460">
      <c r="E460" s="28"/>
      <c r="F460" s="36"/>
    </row>
    <row r="461">
      <c r="E461" s="28"/>
      <c r="F461" s="36"/>
    </row>
    <row r="462">
      <c r="E462" s="28"/>
      <c r="F462" s="36"/>
    </row>
    <row r="463">
      <c r="E463" s="28"/>
      <c r="F463" s="36"/>
    </row>
    <row r="464">
      <c r="E464" s="28"/>
      <c r="F464" s="36"/>
    </row>
    <row r="465">
      <c r="E465" s="28"/>
      <c r="F465" s="36"/>
    </row>
    <row r="466">
      <c r="E466" s="28"/>
      <c r="F466" s="36"/>
    </row>
    <row r="467">
      <c r="E467" s="28"/>
      <c r="F467" s="36"/>
    </row>
    <row r="468">
      <c r="E468" s="28"/>
      <c r="F468" s="36"/>
    </row>
    <row r="469">
      <c r="E469" s="28"/>
      <c r="F469" s="36"/>
    </row>
    <row r="470">
      <c r="E470" s="28"/>
      <c r="F470" s="36"/>
    </row>
    <row r="471">
      <c r="E471" s="28"/>
      <c r="F471" s="36"/>
    </row>
    <row r="472">
      <c r="E472" s="28"/>
      <c r="F472" s="36"/>
    </row>
    <row r="473">
      <c r="E473" s="28"/>
      <c r="F473" s="36"/>
    </row>
    <row r="474">
      <c r="E474" s="28"/>
      <c r="F474" s="36"/>
    </row>
    <row r="475">
      <c r="E475" s="28"/>
      <c r="F475" s="36"/>
    </row>
    <row r="476">
      <c r="E476" s="28"/>
      <c r="F476" s="36"/>
    </row>
    <row r="477">
      <c r="E477" s="28"/>
      <c r="F477" s="36"/>
    </row>
    <row r="478">
      <c r="E478" s="28"/>
      <c r="F478" s="36"/>
    </row>
    <row r="479">
      <c r="E479" s="28"/>
      <c r="F479" s="36"/>
    </row>
    <row r="480">
      <c r="E480" s="28"/>
      <c r="F480" s="36"/>
    </row>
    <row r="481">
      <c r="E481" s="28"/>
      <c r="F481" s="36"/>
    </row>
    <row r="482">
      <c r="E482" s="28"/>
      <c r="F482" s="36"/>
    </row>
    <row r="483">
      <c r="E483" s="28"/>
      <c r="F483" s="36"/>
    </row>
    <row r="484">
      <c r="E484" s="28"/>
      <c r="F484" s="36"/>
    </row>
    <row r="485">
      <c r="E485" s="28"/>
      <c r="F485" s="36"/>
    </row>
    <row r="486">
      <c r="E486" s="28"/>
      <c r="F486" s="36"/>
    </row>
    <row r="487">
      <c r="E487" s="28"/>
      <c r="F487" s="36"/>
    </row>
    <row r="488">
      <c r="E488" s="28"/>
      <c r="F488" s="36"/>
    </row>
    <row r="489">
      <c r="E489" s="28"/>
      <c r="F489" s="36"/>
    </row>
    <row r="490">
      <c r="E490" s="28"/>
      <c r="F490" s="36"/>
    </row>
    <row r="491">
      <c r="E491" s="28"/>
      <c r="F491" s="36"/>
    </row>
    <row r="492">
      <c r="E492" s="28"/>
      <c r="F492" s="36"/>
    </row>
    <row r="493">
      <c r="E493" s="28"/>
      <c r="F493" s="36"/>
    </row>
    <row r="494">
      <c r="E494" s="28"/>
      <c r="F494" s="36"/>
    </row>
    <row r="495">
      <c r="E495" s="28"/>
      <c r="F495" s="36"/>
    </row>
    <row r="496">
      <c r="E496" s="28"/>
      <c r="F496" s="36"/>
    </row>
    <row r="497">
      <c r="E497" s="28"/>
      <c r="F497" s="36"/>
    </row>
    <row r="498">
      <c r="E498" s="28"/>
      <c r="F498" s="36"/>
    </row>
    <row r="499">
      <c r="E499" s="28"/>
      <c r="F499" s="36"/>
    </row>
    <row r="500">
      <c r="E500" s="28"/>
      <c r="F500" s="36"/>
    </row>
    <row r="501">
      <c r="E501" s="28"/>
      <c r="F501" s="36"/>
    </row>
    <row r="502">
      <c r="E502" s="28"/>
      <c r="F502" s="36"/>
    </row>
    <row r="503">
      <c r="E503" s="28"/>
      <c r="F503" s="36"/>
    </row>
    <row r="504">
      <c r="E504" s="28"/>
      <c r="F504" s="36"/>
    </row>
    <row r="505">
      <c r="E505" s="28"/>
      <c r="F505" s="36"/>
    </row>
    <row r="506">
      <c r="E506" s="28"/>
      <c r="F506" s="36"/>
    </row>
    <row r="507">
      <c r="E507" s="28"/>
      <c r="F507" s="36"/>
    </row>
    <row r="508">
      <c r="E508" s="28"/>
      <c r="F508" s="36"/>
    </row>
    <row r="509">
      <c r="E509" s="28"/>
      <c r="F509" s="36"/>
    </row>
    <row r="510">
      <c r="E510" s="28"/>
      <c r="F510" s="36"/>
    </row>
    <row r="511">
      <c r="E511" s="28"/>
      <c r="F511" s="36"/>
    </row>
    <row r="512">
      <c r="E512" s="28"/>
      <c r="F512" s="36"/>
    </row>
    <row r="513">
      <c r="E513" s="28"/>
      <c r="F513" s="36"/>
    </row>
    <row r="514">
      <c r="E514" s="28"/>
      <c r="F514" s="36"/>
    </row>
    <row r="515">
      <c r="E515" s="28"/>
      <c r="F515" s="36"/>
    </row>
    <row r="516">
      <c r="E516" s="28"/>
      <c r="F516" s="36"/>
    </row>
    <row r="517">
      <c r="E517" s="28"/>
      <c r="F517" s="36"/>
    </row>
    <row r="518">
      <c r="E518" s="28"/>
      <c r="F518" s="36"/>
    </row>
    <row r="519">
      <c r="E519" s="28"/>
      <c r="F519" s="36"/>
    </row>
    <row r="520">
      <c r="E520" s="28"/>
      <c r="F520" s="36"/>
    </row>
    <row r="521">
      <c r="E521" s="28"/>
      <c r="F521" s="36"/>
    </row>
    <row r="522">
      <c r="E522" s="28"/>
      <c r="F522" s="36"/>
    </row>
    <row r="523">
      <c r="E523" s="28"/>
      <c r="F523" s="36"/>
    </row>
    <row r="524">
      <c r="E524" s="28"/>
      <c r="F524" s="36"/>
    </row>
    <row r="525">
      <c r="E525" s="28"/>
      <c r="F525" s="36"/>
    </row>
    <row r="526">
      <c r="E526" s="28"/>
      <c r="F526" s="36"/>
    </row>
    <row r="527">
      <c r="E527" s="28"/>
      <c r="F527" s="36"/>
    </row>
    <row r="528">
      <c r="E528" s="28"/>
      <c r="F528" s="36"/>
    </row>
    <row r="529">
      <c r="E529" s="28"/>
      <c r="F529" s="36"/>
    </row>
    <row r="530">
      <c r="E530" s="28"/>
      <c r="F530" s="36"/>
    </row>
    <row r="531">
      <c r="E531" s="28"/>
      <c r="F531" s="36"/>
    </row>
    <row r="532">
      <c r="E532" s="28"/>
      <c r="F532" s="36"/>
    </row>
    <row r="533">
      <c r="E533" s="28"/>
      <c r="F533" s="36"/>
    </row>
    <row r="534">
      <c r="E534" s="28"/>
      <c r="F534" s="36"/>
    </row>
    <row r="535">
      <c r="E535" s="28"/>
      <c r="F535" s="36"/>
    </row>
    <row r="536">
      <c r="E536" s="28"/>
      <c r="F536" s="36"/>
    </row>
    <row r="537">
      <c r="E537" s="28"/>
      <c r="F537" s="36"/>
    </row>
    <row r="538">
      <c r="E538" s="28"/>
      <c r="F538" s="36"/>
    </row>
    <row r="539">
      <c r="E539" s="28"/>
      <c r="F539" s="36"/>
    </row>
    <row r="540">
      <c r="E540" s="28"/>
      <c r="F540" s="36"/>
    </row>
    <row r="541">
      <c r="E541" s="28"/>
      <c r="F541" s="36"/>
    </row>
    <row r="542">
      <c r="E542" s="28"/>
      <c r="F542" s="36"/>
    </row>
    <row r="543">
      <c r="E543" s="28"/>
      <c r="F543" s="36"/>
    </row>
    <row r="544">
      <c r="E544" s="28"/>
      <c r="F544" s="36"/>
    </row>
    <row r="545">
      <c r="E545" s="28"/>
      <c r="F545" s="36"/>
    </row>
    <row r="546">
      <c r="E546" s="28"/>
      <c r="F546" s="36"/>
    </row>
    <row r="547">
      <c r="E547" s="28"/>
      <c r="F547" s="36"/>
    </row>
    <row r="548">
      <c r="E548" s="28"/>
      <c r="F548" s="36"/>
    </row>
    <row r="549">
      <c r="E549" s="28"/>
      <c r="F549" s="36"/>
    </row>
    <row r="550">
      <c r="E550" s="28"/>
      <c r="F550" s="36"/>
    </row>
    <row r="551">
      <c r="E551" s="28"/>
      <c r="F551" s="36"/>
    </row>
    <row r="552">
      <c r="E552" s="28"/>
      <c r="F552" s="36"/>
    </row>
    <row r="553">
      <c r="E553" s="28"/>
      <c r="F553" s="36"/>
    </row>
    <row r="554">
      <c r="E554" s="28"/>
      <c r="F554" s="36"/>
    </row>
    <row r="555">
      <c r="E555" s="28"/>
      <c r="F555" s="36"/>
    </row>
    <row r="556">
      <c r="E556" s="28"/>
      <c r="F556" s="36"/>
    </row>
    <row r="557">
      <c r="E557" s="28"/>
      <c r="F557" s="36"/>
    </row>
    <row r="558">
      <c r="E558" s="28"/>
      <c r="F558" s="36"/>
    </row>
    <row r="559">
      <c r="E559" s="28"/>
      <c r="F559" s="36"/>
    </row>
    <row r="560">
      <c r="E560" s="28"/>
      <c r="F560" s="36"/>
    </row>
    <row r="561">
      <c r="E561" s="28"/>
      <c r="F561" s="36"/>
    </row>
    <row r="562">
      <c r="E562" s="28"/>
      <c r="F562" s="36"/>
    </row>
    <row r="563">
      <c r="E563" s="28"/>
      <c r="F563" s="36"/>
    </row>
    <row r="564">
      <c r="E564" s="28"/>
      <c r="F564" s="36"/>
    </row>
    <row r="565">
      <c r="E565" s="28"/>
      <c r="F565" s="36"/>
    </row>
    <row r="566">
      <c r="E566" s="28"/>
      <c r="F566" s="36"/>
    </row>
    <row r="567">
      <c r="E567" s="28"/>
      <c r="F567" s="36"/>
    </row>
    <row r="568">
      <c r="E568" s="28"/>
      <c r="F568" s="36"/>
    </row>
    <row r="569">
      <c r="E569" s="28"/>
      <c r="F569" s="36"/>
    </row>
    <row r="570">
      <c r="E570" s="28"/>
      <c r="F570" s="36"/>
    </row>
    <row r="571">
      <c r="E571" s="28"/>
      <c r="F571" s="36"/>
    </row>
    <row r="572">
      <c r="E572" s="28"/>
      <c r="F572" s="36"/>
    </row>
    <row r="573">
      <c r="E573" s="28"/>
      <c r="F573" s="36"/>
    </row>
    <row r="574">
      <c r="E574" s="28"/>
      <c r="F574" s="36"/>
    </row>
    <row r="575">
      <c r="E575" s="28"/>
      <c r="F575" s="36"/>
    </row>
    <row r="576">
      <c r="E576" s="28"/>
      <c r="F576" s="36"/>
    </row>
    <row r="577">
      <c r="E577" s="28"/>
      <c r="F577" s="36"/>
    </row>
    <row r="578">
      <c r="E578" s="28"/>
      <c r="F578" s="36"/>
    </row>
    <row r="579">
      <c r="E579" s="28"/>
      <c r="F579" s="36"/>
    </row>
    <row r="580">
      <c r="E580" s="28"/>
      <c r="F580" s="36"/>
    </row>
    <row r="581">
      <c r="E581" s="28"/>
      <c r="F581" s="36"/>
    </row>
    <row r="582">
      <c r="E582" s="28"/>
      <c r="F582" s="36"/>
    </row>
    <row r="583">
      <c r="E583" s="28"/>
      <c r="F583" s="36"/>
    </row>
    <row r="584">
      <c r="E584" s="28"/>
      <c r="F584" s="36"/>
    </row>
    <row r="585">
      <c r="E585" s="28"/>
      <c r="F585" s="36"/>
    </row>
    <row r="586">
      <c r="E586" s="28"/>
      <c r="F586" s="36"/>
    </row>
    <row r="587">
      <c r="E587" s="28"/>
      <c r="F587" s="36"/>
    </row>
    <row r="588">
      <c r="E588" s="28"/>
      <c r="F588" s="36"/>
    </row>
    <row r="589">
      <c r="E589" s="28"/>
      <c r="F589" s="36"/>
    </row>
    <row r="590">
      <c r="E590" s="28"/>
      <c r="F590" s="36"/>
    </row>
    <row r="591">
      <c r="E591" s="28"/>
      <c r="F591" s="36"/>
    </row>
    <row r="592">
      <c r="E592" s="28"/>
      <c r="F592" s="36"/>
    </row>
    <row r="593">
      <c r="E593" s="28"/>
      <c r="F593" s="36"/>
    </row>
    <row r="594">
      <c r="E594" s="28"/>
      <c r="F594" s="36"/>
    </row>
    <row r="595">
      <c r="E595" s="28"/>
      <c r="F595" s="36"/>
    </row>
    <row r="596">
      <c r="E596" s="28"/>
      <c r="F596" s="36"/>
    </row>
    <row r="597">
      <c r="E597" s="28"/>
      <c r="F597" s="36"/>
    </row>
    <row r="598">
      <c r="E598" s="28"/>
      <c r="F598" s="36"/>
    </row>
    <row r="599">
      <c r="E599" s="28"/>
      <c r="F599" s="36"/>
    </row>
    <row r="600">
      <c r="E600" s="28"/>
      <c r="F600" s="36"/>
    </row>
    <row r="601">
      <c r="E601" s="28"/>
      <c r="F601" s="36"/>
    </row>
    <row r="602">
      <c r="E602" s="28"/>
      <c r="F602" s="36"/>
    </row>
    <row r="603">
      <c r="E603" s="28"/>
      <c r="F603" s="36"/>
    </row>
    <row r="604">
      <c r="E604" s="28"/>
      <c r="F604" s="36"/>
    </row>
    <row r="605">
      <c r="E605" s="28"/>
      <c r="F605" s="36"/>
    </row>
    <row r="606">
      <c r="E606" s="28"/>
      <c r="F606" s="36"/>
    </row>
    <row r="607">
      <c r="E607" s="28"/>
      <c r="F607" s="36"/>
    </row>
    <row r="608">
      <c r="E608" s="28"/>
      <c r="F608" s="36"/>
    </row>
    <row r="609">
      <c r="E609" s="28"/>
      <c r="F609" s="36"/>
    </row>
    <row r="610">
      <c r="E610" s="28"/>
      <c r="F610" s="36"/>
    </row>
    <row r="611">
      <c r="E611" s="28"/>
      <c r="F611" s="36"/>
    </row>
    <row r="612">
      <c r="E612" s="28"/>
      <c r="F612" s="36"/>
    </row>
    <row r="613">
      <c r="E613" s="28"/>
      <c r="F613" s="36"/>
    </row>
    <row r="614">
      <c r="E614" s="28"/>
      <c r="F614" s="36"/>
    </row>
    <row r="615">
      <c r="E615" s="28"/>
      <c r="F615" s="36"/>
    </row>
    <row r="616">
      <c r="E616" s="28"/>
      <c r="F616" s="36"/>
    </row>
    <row r="617">
      <c r="E617" s="28"/>
      <c r="F617" s="36"/>
    </row>
    <row r="618">
      <c r="E618" s="28"/>
      <c r="F618" s="36"/>
    </row>
    <row r="619">
      <c r="E619" s="28"/>
      <c r="F619" s="36"/>
    </row>
    <row r="620">
      <c r="E620" s="28"/>
      <c r="F620" s="36"/>
    </row>
    <row r="621">
      <c r="E621" s="28"/>
      <c r="F621" s="36"/>
    </row>
    <row r="622">
      <c r="E622" s="28"/>
      <c r="F622" s="36"/>
    </row>
    <row r="623">
      <c r="E623" s="28"/>
      <c r="F623" s="36"/>
    </row>
    <row r="624">
      <c r="E624" s="28"/>
      <c r="F624" s="36"/>
    </row>
    <row r="625">
      <c r="E625" s="28"/>
      <c r="F625" s="36"/>
    </row>
    <row r="626">
      <c r="E626" s="28"/>
      <c r="F626" s="36"/>
    </row>
    <row r="627">
      <c r="E627" s="28"/>
      <c r="F627" s="36"/>
    </row>
    <row r="628">
      <c r="E628" s="28"/>
      <c r="F628" s="36"/>
    </row>
    <row r="629">
      <c r="E629" s="28"/>
      <c r="F629" s="36"/>
    </row>
    <row r="630">
      <c r="E630" s="28"/>
      <c r="F630" s="36"/>
    </row>
    <row r="631">
      <c r="E631" s="28"/>
      <c r="F631" s="36"/>
    </row>
    <row r="632">
      <c r="E632" s="28"/>
      <c r="F632" s="36"/>
    </row>
    <row r="633">
      <c r="E633" s="28"/>
      <c r="F633" s="36"/>
    </row>
    <row r="634">
      <c r="E634" s="28"/>
      <c r="F634" s="36"/>
    </row>
    <row r="635">
      <c r="E635" s="28"/>
      <c r="F635" s="36"/>
    </row>
    <row r="636">
      <c r="E636" s="28"/>
      <c r="F636" s="36"/>
    </row>
    <row r="637">
      <c r="E637" s="28"/>
      <c r="F637" s="36"/>
    </row>
    <row r="638">
      <c r="E638" s="28"/>
      <c r="F638" s="36"/>
    </row>
    <row r="639">
      <c r="E639" s="28"/>
      <c r="F639" s="36"/>
    </row>
    <row r="640">
      <c r="E640" s="28"/>
      <c r="F640" s="36"/>
    </row>
    <row r="641">
      <c r="E641" s="28"/>
      <c r="F641" s="36"/>
    </row>
    <row r="642">
      <c r="E642" s="28"/>
      <c r="F642" s="36"/>
    </row>
    <row r="643">
      <c r="E643" s="28"/>
      <c r="F643" s="36"/>
    </row>
    <row r="644">
      <c r="E644" s="28"/>
      <c r="F644" s="36"/>
    </row>
    <row r="645">
      <c r="E645" s="28"/>
      <c r="F645" s="36"/>
    </row>
    <row r="646">
      <c r="E646" s="28"/>
      <c r="F646" s="36"/>
    </row>
    <row r="647">
      <c r="E647" s="28"/>
      <c r="F647" s="36"/>
    </row>
    <row r="648">
      <c r="E648" s="28"/>
      <c r="F648" s="36"/>
    </row>
    <row r="649">
      <c r="E649" s="28"/>
      <c r="F649" s="36"/>
    </row>
    <row r="650">
      <c r="E650" s="28"/>
      <c r="F650" s="36"/>
    </row>
    <row r="651">
      <c r="E651" s="28"/>
      <c r="F651" s="36"/>
    </row>
    <row r="652">
      <c r="E652" s="28"/>
      <c r="F652" s="36"/>
    </row>
    <row r="653">
      <c r="E653" s="28"/>
      <c r="F653" s="36"/>
    </row>
    <row r="654">
      <c r="E654" s="28"/>
      <c r="F654" s="36"/>
    </row>
    <row r="655">
      <c r="E655" s="28"/>
      <c r="F655" s="36"/>
    </row>
    <row r="656">
      <c r="E656" s="28"/>
      <c r="F656" s="36"/>
    </row>
    <row r="657">
      <c r="E657" s="28"/>
      <c r="F657" s="36"/>
    </row>
    <row r="658">
      <c r="E658" s="28"/>
      <c r="F658" s="36"/>
    </row>
    <row r="659">
      <c r="E659" s="28"/>
      <c r="F659" s="36"/>
    </row>
    <row r="660">
      <c r="E660" s="28"/>
      <c r="F660" s="36"/>
    </row>
    <row r="661">
      <c r="E661" s="28"/>
      <c r="F661" s="36"/>
    </row>
    <row r="662">
      <c r="E662" s="28"/>
      <c r="F662" s="36"/>
    </row>
    <row r="663">
      <c r="E663" s="28"/>
      <c r="F663" s="36"/>
    </row>
    <row r="664">
      <c r="E664" s="28"/>
      <c r="F664" s="36"/>
    </row>
    <row r="665">
      <c r="E665" s="28"/>
      <c r="F665" s="36"/>
    </row>
    <row r="666">
      <c r="E666" s="28"/>
      <c r="F666" s="36"/>
    </row>
    <row r="667">
      <c r="E667" s="28"/>
      <c r="F667" s="36"/>
    </row>
    <row r="668">
      <c r="E668" s="28"/>
      <c r="F668" s="36"/>
    </row>
    <row r="669">
      <c r="E669" s="28"/>
      <c r="F669" s="36"/>
    </row>
    <row r="670">
      <c r="E670" s="28"/>
      <c r="F670" s="36"/>
    </row>
    <row r="671">
      <c r="E671" s="28"/>
      <c r="F671" s="36"/>
    </row>
    <row r="672">
      <c r="E672" s="28"/>
      <c r="F672" s="36"/>
    </row>
    <row r="673">
      <c r="E673" s="28"/>
      <c r="F673" s="36"/>
    </row>
    <row r="674">
      <c r="E674" s="28"/>
      <c r="F674" s="36"/>
    </row>
    <row r="675">
      <c r="E675" s="28"/>
      <c r="F675" s="36"/>
    </row>
    <row r="676">
      <c r="E676" s="28"/>
      <c r="F676" s="36"/>
    </row>
    <row r="677">
      <c r="E677" s="28"/>
      <c r="F677" s="36"/>
    </row>
    <row r="678">
      <c r="E678" s="28"/>
      <c r="F678" s="36"/>
    </row>
    <row r="679">
      <c r="E679" s="28"/>
      <c r="F679" s="36"/>
    </row>
    <row r="680">
      <c r="E680" s="28"/>
      <c r="F680" s="36"/>
    </row>
    <row r="681">
      <c r="E681" s="28"/>
      <c r="F681" s="36"/>
    </row>
    <row r="682">
      <c r="E682" s="28"/>
      <c r="F682" s="36"/>
    </row>
    <row r="683">
      <c r="E683" s="28"/>
      <c r="F683" s="36"/>
    </row>
    <row r="684">
      <c r="E684" s="28"/>
      <c r="F684" s="36"/>
    </row>
    <row r="685">
      <c r="E685" s="28"/>
      <c r="F685" s="36"/>
    </row>
    <row r="686">
      <c r="E686" s="28"/>
      <c r="F686" s="36"/>
    </row>
    <row r="687">
      <c r="E687" s="28"/>
      <c r="F687" s="36"/>
    </row>
    <row r="688">
      <c r="E688" s="28"/>
      <c r="F688" s="36"/>
    </row>
    <row r="689">
      <c r="E689" s="28"/>
      <c r="F689" s="36"/>
    </row>
    <row r="690">
      <c r="E690" s="28"/>
      <c r="F690" s="36"/>
    </row>
    <row r="691">
      <c r="E691" s="28"/>
      <c r="F691" s="36"/>
    </row>
    <row r="692">
      <c r="E692" s="28"/>
      <c r="F692" s="36"/>
    </row>
    <row r="693">
      <c r="E693" s="28"/>
      <c r="F693" s="36"/>
    </row>
    <row r="694">
      <c r="E694" s="28"/>
      <c r="F694" s="36"/>
    </row>
    <row r="695">
      <c r="E695" s="28"/>
      <c r="F695" s="36"/>
    </row>
    <row r="696">
      <c r="E696" s="28"/>
      <c r="F696" s="36"/>
    </row>
    <row r="697">
      <c r="E697" s="28"/>
      <c r="F697" s="36"/>
    </row>
    <row r="698">
      <c r="E698" s="28"/>
      <c r="F698" s="36"/>
    </row>
    <row r="699">
      <c r="E699" s="28"/>
      <c r="F699" s="36"/>
    </row>
    <row r="700">
      <c r="E700" s="28"/>
      <c r="F700" s="36"/>
    </row>
    <row r="701">
      <c r="E701" s="28"/>
      <c r="F701" s="36"/>
    </row>
    <row r="702">
      <c r="E702" s="28"/>
      <c r="F702" s="36"/>
    </row>
    <row r="703">
      <c r="E703" s="28"/>
      <c r="F703" s="36"/>
    </row>
    <row r="704">
      <c r="E704" s="28"/>
      <c r="F704" s="36"/>
    </row>
    <row r="705">
      <c r="E705" s="28"/>
      <c r="F705" s="36"/>
    </row>
    <row r="706">
      <c r="E706" s="28"/>
      <c r="F706" s="36"/>
    </row>
    <row r="707">
      <c r="E707" s="28"/>
      <c r="F707" s="36"/>
    </row>
    <row r="708">
      <c r="E708" s="28"/>
      <c r="F708" s="36"/>
    </row>
    <row r="709">
      <c r="E709" s="28"/>
      <c r="F709" s="36"/>
    </row>
    <row r="710">
      <c r="E710" s="28"/>
      <c r="F710" s="36"/>
    </row>
    <row r="711">
      <c r="E711" s="28"/>
      <c r="F711" s="36"/>
    </row>
    <row r="712">
      <c r="E712" s="28"/>
      <c r="F712" s="36"/>
    </row>
    <row r="713">
      <c r="E713" s="28"/>
      <c r="F713" s="36"/>
    </row>
    <row r="714">
      <c r="E714" s="28"/>
      <c r="F714" s="36"/>
    </row>
    <row r="715">
      <c r="E715" s="28"/>
      <c r="F715" s="36"/>
    </row>
    <row r="716">
      <c r="E716" s="28"/>
      <c r="F716" s="36"/>
    </row>
    <row r="717">
      <c r="E717" s="28"/>
      <c r="F717" s="36"/>
    </row>
    <row r="718">
      <c r="E718" s="28"/>
      <c r="F718" s="36"/>
    </row>
    <row r="719">
      <c r="E719" s="28"/>
      <c r="F719" s="36"/>
    </row>
    <row r="720">
      <c r="E720" s="28"/>
      <c r="F720" s="36"/>
    </row>
    <row r="721">
      <c r="E721" s="28"/>
      <c r="F721" s="36"/>
    </row>
    <row r="722">
      <c r="E722" s="28"/>
      <c r="F722" s="36"/>
    </row>
    <row r="723">
      <c r="E723" s="28"/>
      <c r="F723" s="36"/>
    </row>
    <row r="724">
      <c r="E724" s="28"/>
      <c r="F724" s="36"/>
    </row>
    <row r="725">
      <c r="E725" s="28"/>
      <c r="F725" s="36"/>
    </row>
    <row r="726">
      <c r="E726" s="28"/>
      <c r="F726" s="36"/>
    </row>
    <row r="727">
      <c r="E727" s="28"/>
      <c r="F727" s="36"/>
    </row>
    <row r="728">
      <c r="E728" s="28"/>
      <c r="F728" s="36"/>
    </row>
    <row r="729">
      <c r="E729" s="28"/>
      <c r="F729" s="36"/>
    </row>
    <row r="730">
      <c r="E730" s="28"/>
      <c r="F730" s="36"/>
    </row>
    <row r="731">
      <c r="E731" s="28"/>
      <c r="F731" s="36"/>
    </row>
    <row r="732">
      <c r="E732" s="28"/>
      <c r="F732" s="36"/>
    </row>
    <row r="733">
      <c r="E733" s="28"/>
      <c r="F733" s="36"/>
    </row>
    <row r="734">
      <c r="E734" s="28"/>
      <c r="F734" s="36"/>
    </row>
    <row r="735">
      <c r="E735" s="28"/>
      <c r="F735" s="36"/>
    </row>
    <row r="736">
      <c r="E736" s="28"/>
      <c r="F736" s="36"/>
    </row>
    <row r="737">
      <c r="E737" s="28"/>
      <c r="F737" s="36"/>
    </row>
    <row r="738">
      <c r="E738" s="28"/>
      <c r="F738" s="36"/>
    </row>
    <row r="739">
      <c r="E739" s="28"/>
      <c r="F739" s="36"/>
    </row>
    <row r="740">
      <c r="E740" s="28"/>
      <c r="F740" s="36"/>
    </row>
    <row r="741">
      <c r="E741" s="28"/>
      <c r="F741" s="36"/>
    </row>
    <row r="742">
      <c r="E742" s="28"/>
      <c r="F742" s="36"/>
    </row>
    <row r="743">
      <c r="E743" s="28"/>
      <c r="F743" s="36"/>
    </row>
    <row r="744">
      <c r="E744" s="28"/>
      <c r="F744" s="36"/>
    </row>
    <row r="745">
      <c r="E745" s="28"/>
      <c r="F745" s="36"/>
    </row>
    <row r="746">
      <c r="E746" s="28"/>
      <c r="F746" s="36"/>
    </row>
    <row r="747">
      <c r="E747" s="28"/>
      <c r="F747" s="36"/>
    </row>
    <row r="748">
      <c r="E748" s="28"/>
      <c r="F748" s="36"/>
    </row>
    <row r="749">
      <c r="E749" s="28"/>
      <c r="F749" s="36"/>
    </row>
    <row r="750">
      <c r="E750" s="28"/>
      <c r="F750" s="36"/>
    </row>
    <row r="751">
      <c r="E751" s="28"/>
      <c r="F751" s="36"/>
    </row>
    <row r="752">
      <c r="E752" s="28"/>
      <c r="F752" s="36"/>
    </row>
    <row r="753">
      <c r="E753" s="28"/>
      <c r="F753" s="36"/>
    </row>
    <row r="754">
      <c r="E754" s="28"/>
      <c r="F754" s="36"/>
    </row>
    <row r="755">
      <c r="E755" s="28"/>
      <c r="F755" s="36"/>
    </row>
    <row r="756">
      <c r="E756" s="28"/>
      <c r="F756" s="36"/>
    </row>
    <row r="757">
      <c r="E757" s="28"/>
      <c r="F757" s="36"/>
    </row>
    <row r="758">
      <c r="E758" s="28"/>
      <c r="F758" s="36"/>
    </row>
    <row r="759">
      <c r="E759" s="28"/>
      <c r="F759" s="36"/>
    </row>
    <row r="760">
      <c r="E760" s="28"/>
      <c r="F760" s="36"/>
    </row>
    <row r="761">
      <c r="E761" s="28"/>
      <c r="F761" s="36"/>
    </row>
    <row r="762">
      <c r="E762" s="28"/>
      <c r="F762" s="36"/>
    </row>
    <row r="763">
      <c r="E763" s="28"/>
      <c r="F763" s="36"/>
    </row>
    <row r="764">
      <c r="E764" s="28"/>
      <c r="F764" s="36"/>
    </row>
    <row r="765">
      <c r="E765" s="28"/>
      <c r="F765" s="36"/>
    </row>
    <row r="766">
      <c r="E766" s="28"/>
      <c r="F766" s="36"/>
    </row>
    <row r="767">
      <c r="E767" s="28"/>
      <c r="F767" s="36"/>
    </row>
    <row r="768">
      <c r="E768" s="28"/>
      <c r="F768" s="36"/>
    </row>
    <row r="769">
      <c r="E769" s="28"/>
      <c r="F769" s="36"/>
    </row>
    <row r="770">
      <c r="E770" s="28"/>
      <c r="F770" s="36"/>
    </row>
    <row r="771">
      <c r="E771" s="28"/>
      <c r="F771" s="36"/>
    </row>
    <row r="772">
      <c r="E772" s="28"/>
      <c r="F772" s="36"/>
    </row>
    <row r="773">
      <c r="E773" s="28"/>
      <c r="F773" s="36"/>
    </row>
    <row r="774">
      <c r="E774" s="28"/>
      <c r="F774" s="36"/>
    </row>
    <row r="775">
      <c r="E775" s="28"/>
      <c r="F775" s="36"/>
    </row>
    <row r="776">
      <c r="E776" s="28"/>
      <c r="F776" s="36"/>
    </row>
    <row r="777">
      <c r="E777" s="28"/>
      <c r="F777" s="36"/>
    </row>
    <row r="778">
      <c r="E778" s="28"/>
      <c r="F778" s="36"/>
    </row>
    <row r="779">
      <c r="E779" s="28"/>
      <c r="F779" s="36"/>
    </row>
    <row r="780">
      <c r="E780" s="28"/>
      <c r="F780" s="36"/>
    </row>
    <row r="781">
      <c r="E781" s="28"/>
      <c r="F781" s="36"/>
    </row>
    <row r="782">
      <c r="E782" s="28"/>
      <c r="F782" s="36"/>
    </row>
    <row r="783">
      <c r="E783" s="28"/>
      <c r="F783" s="36"/>
    </row>
    <row r="784">
      <c r="E784" s="28"/>
      <c r="F784" s="36"/>
    </row>
    <row r="785">
      <c r="E785" s="28"/>
      <c r="F785" s="36"/>
    </row>
    <row r="786">
      <c r="E786" s="28"/>
      <c r="F786" s="36"/>
    </row>
    <row r="787">
      <c r="E787" s="28"/>
      <c r="F787" s="36"/>
    </row>
    <row r="788">
      <c r="E788" s="28"/>
      <c r="F788" s="36"/>
    </row>
    <row r="789">
      <c r="E789" s="28"/>
      <c r="F789" s="36"/>
    </row>
    <row r="790">
      <c r="E790" s="28"/>
      <c r="F790" s="36"/>
    </row>
    <row r="791">
      <c r="E791" s="28"/>
      <c r="F791" s="36"/>
    </row>
    <row r="792">
      <c r="E792" s="28"/>
      <c r="F792" s="36"/>
    </row>
    <row r="793">
      <c r="E793" s="28"/>
      <c r="F793" s="36"/>
    </row>
    <row r="794">
      <c r="E794" s="28"/>
      <c r="F794" s="36"/>
    </row>
    <row r="795">
      <c r="E795" s="28"/>
      <c r="F795" s="36"/>
    </row>
    <row r="796">
      <c r="E796" s="28"/>
      <c r="F796" s="36"/>
    </row>
    <row r="797">
      <c r="E797" s="28"/>
      <c r="F797" s="36"/>
    </row>
    <row r="798">
      <c r="E798" s="28"/>
      <c r="F798" s="36"/>
    </row>
    <row r="799">
      <c r="E799" s="28"/>
      <c r="F799" s="36"/>
    </row>
    <row r="800">
      <c r="E800" s="28"/>
      <c r="F800" s="36"/>
    </row>
    <row r="801">
      <c r="E801" s="28"/>
      <c r="F801" s="36"/>
    </row>
    <row r="802">
      <c r="E802" s="28"/>
      <c r="F802" s="36"/>
    </row>
    <row r="803">
      <c r="E803" s="28"/>
      <c r="F803" s="36"/>
    </row>
    <row r="804">
      <c r="E804" s="28"/>
      <c r="F804" s="36"/>
    </row>
    <row r="805">
      <c r="E805" s="28"/>
      <c r="F805" s="36"/>
    </row>
    <row r="806">
      <c r="E806" s="28"/>
      <c r="F806" s="36"/>
    </row>
    <row r="807">
      <c r="E807" s="28"/>
      <c r="F807" s="36"/>
    </row>
    <row r="808">
      <c r="E808" s="28"/>
      <c r="F808" s="36"/>
    </row>
    <row r="809">
      <c r="E809" s="28"/>
      <c r="F809" s="36"/>
    </row>
    <row r="810">
      <c r="E810" s="28"/>
      <c r="F810" s="36"/>
    </row>
    <row r="811">
      <c r="E811" s="28"/>
      <c r="F811" s="36"/>
    </row>
    <row r="812">
      <c r="E812" s="28"/>
      <c r="F812" s="36"/>
    </row>
    <row r="813">
      <c r="E813" s="28"/>
      <c r="F813" s="36"/>
    </row>
    <row r="814">
      <c r="E814" s="28"/>
      <c r="F814" s="36"/>
    </row>
    <row r="815">
      <c r="E815" s="28"/>
      <c r="F815" s="36"/>
    </row>
    <row r="816">
      <c r="E816" s="28"/>
      <c r="F816" s="36"/>
    </row>
    <row r="817">
      <c r="E817" s="28"/>
      <c r="F817" s="36"/>
    </row>
    <row r="818">
      <c r="E818" s="28"/>
      <c r="F818" s="36"/>
    </row>
    <row r="819">
      <c r="E819" s="28"/>
      <c r="F819" s="36"/>
    </row>
    <row r="820">
      <c r="E820" s="28"/>
      <c r="F820" s="36"/>
    </row>
    <row r="821">
      <c r="E821" s="28"/>
      <c r="F821" s="36"/>
    </row>
    <row r="822">
      <c r="E822" s="28"/>
      <c r="F822" s="36"/>
    </row>
    <row r="823">
      <c r="E823" s="28"/>
      <c r="F823" s="36"/>
    </row>
    <row r="824">
      <c r="E824" s="28"/>
      <c r="F824" s="36"/>
    </row>
    <row r="825">
      <c r="E825" s="28"/>
      <c r="F825" s="36"/>
    </row>
    <row r="826">
      <c r="E826" s="28"/>
      <c r="F826" s="36"/>
    </row>
    <row r="827">
      <c r="E827" s="28"/>
      <c r="F827" s="36"/>
    </row>
    <row r="828">
      <c r="E828" s="28"/>
      <c r="F828" s="36"/>
    </row>
    <row r="829">
      <c r="E829" s="28"/>
      <c r="F829" s="36"/>
    </row>
    <row r="830">
      <c r="E830" s="28"/>
      <c r="F830" s="36"/>
    </row>
    <row r="831">
      <c r="E831" s="28"/>
      <c r="F831" s="36"/>
    </row>
    <row r="832">
      <c r="E832" s="28"/>
      <c r="F832" s="36"/>
    </row>
    <row r="833">
      <c r="E833" s="28"/>
      <c r="F833" s="36"/>
    </row>
    <row r="834">
      <c r="E834" s="28"/>
      <c r="F834" s="36"/>
    </row>
    <row r="835">
      <c r="E835" s="28"/>
      <c r="F835" s="36"/>
    </row>
    <row r="836">
      <c r="E836" s="28"/>
      <c r="F836" s="36"/>
    </row>
    <row r="837">
      <c r="E837" s="28"/>
      <c r="F837" s="36"/>
    </row>
    <row r="838">
      <c r="E838" s="28"/>
      <c r="F838" s="36"/>
    </row>
    <row r="839">
      <c r="E839" s="28"/>
      <c r="F839" s="36"/>
    </row>
    <row r="840">
      <c r="E840" s="28"/>
      <c r="F840" s="36"/>
    </row>
    <row r="841">
      <c r="E841" s="28"/>
      <c r="F841" s="36"/>
    </row>
    <row r="842">
      <c r="E842" s="28"/>
      <c r="F842" s="36"/>
    </row>
    <row r="843">
      <c r="E843" s="28"/>
      <c r="F843" s="36"/>
    </row>
    <row r="844">
      <c r="E844" s="28"/>
      <c r="F844" s="36"/>
    </row>
    <row r="845">
      <c r="E845" s="28"/>
      <c r="F845" s="36"/>
    </row>
    <row r="846">
      <c r="E846" s="28"/>
      <c r="F846" s="36"/>
    </row>
    <row r="847">
      <c r="E847" s="28"/>
      <c r="F847" s="36"/>
    </row>
    <row r="848">
      <c r="E848" s="28"/>
      <c r="F848" s="36"/>
    </row>
    <row r="849">
      <c r="E849" s="28"/>
      <c r="F849" s="36"/>
    </row>
    <row r="850">
      <c r="E850" s="28"/>
      <c r="F850" s="36"/>
    </row>
    <row r="851">
      <c r="E851" s="28"/>
      <c r="F851" s="36"/>
    </row>
    <row r="852">
      <c r="E852" s="28"/>
      <c r="F852" s="36"/>
    </row>
    <row r="853">
      <c r="E853" s="28"/>
      <c r="F853" s="36"/>
    </row>
    <row r="854">
      <c r="E854" s="28"/>
      <c r="F854" s="36"/>
    </row>
    <row r="855">
      <c r="E855" s="28"/>
      <c r="F855" s="36"/>
    </row>
    <row r="856">
      <c r="E856" s="28"/>
      <c r="F856" s="36"/>
    </row>
    <row r="857">
      <c r="E857" s="28"/>
      <c r="F857" s="36"/>
    </row>
    <row r="858">
      <c r="E858" s="28"/>
      <c r="F858" s="36"/>
    </row>
    <row r="859">
      <c r="E859" s="28"/>
      <c r="F859" s="36"/>
    </row>
    <row r="860">
      <c r="E860" s="28"/>
      <c r="F860" s="36"/>
    </row>
    <row r="861">
      <c r="E861" s="28"/>
      <c r="F861" s="36"/>
    </row>
    <row r="862">
      <c r="E862" s="28"/>
      <c r="F862" s="36"/>
    </row>
    <row r="863">
      <c r="E863" s="28"/>
      <c r="F863" s="36"/>
    </row>
    <row r="864">
      <c r="E864" s="28"/>
      <c r="F864" s="36"/>
    </row>
    <row r="865">
      <c r="E865" s="28"/>
      <c r="F865" s="36"/>
    </row>
    <row r="866">
      <c r="E866" s="28"/>
      <c r="F866" s="36"/>
    </row>
    <row r="867">
      <c r="E867" s="28"/>
      <c r="F867" s="36"/>
    </row>
    <row r="868">
      <c r="E868" s="28"/>
      <c r="F868" s="36"/>
    </row>
    <row r="869">
      <c r="E869" s="28"/>
      <c r="F869" s="36"/>
    </row>
    <row r="870">
      <c r="E870" s="28"/>
      <c r="F870" s="36"/>
    </row>
    <row r="871">
      <c r="E871" s="28"/>
      <c r="F871" s="36"/>
    </row>
    <row r="872">
      <c r="E872" s="28"/>
      <c r="F872" s="36"/>
    </row>
    <row r="873">
      <c r="E873" s="28"/>
      <c r="F873" s="36"/>
    </row>
    <row r="874">
      <c r="E874" s="28"/>
      <c r="F874" s="36"/>
    </row>
    <row r="875">
      <c r="E875" s="28"/>
      <c r="F875" s="36"/>
    </row>
    <row r="876">
      <c r="E876" s="28"/>
      <c r="F876" s="36"/>
    </row>
    <row r="877">
      <c r="E877" s="28"/>
      <c r="F877" s="36"/>
    </row>
    <row r="878">
      <c r="E878" s="28"/>
      <c r="F878" s="36"/>
    </row>
    <row r="879">
      <c r="E879" s="28"/>
      <c r="F879" s="36"/>
    </row>
    <row r="880">
      <c r="E880" s="28"/>
      <c r="F880" s="36"/>
    </row>
    <row r="881">
      <c r="E881" s="28"/>
      <c r="F881" s="36"/>
    </row>
    <row r="882">
      <c r="E882" s="28"/>
      <c r="F882" s="36"/>
    </row>
    <row r="883">
      <c r="E883" s="28"/>
      <c r="F883" s="36"/>
    </row>
    <row r="884">
      <c r="E884" s="28"/>
      <c r="F884" s="36"/>
    </row>
    <row r="885">
      <c r="E885" s="28"/>
      <c r="F885" s="36"/>
    </row>
    <row r="886">
      <c r="E886" s="28"/>
      <c r="F886" s="36"/>
    </row>
    <row r="887">
      <c r="E887" s="28"/>
      <c r="F887" s="36"/>
    </row>
    <row r="888">
      <c r="E888" s="28"/>
      <c r="F888" s="36"/>
    </row>
    <row r="889">
      <c r="E889" s="28"/>
      <c r="F889" s="36"/>
    </row>
    <row r="890">
      <c r="E890" s="28"/>
      <c r="F890" s="36"/>
    </row>
    <row r="891">
      <c r="E891" s="28"/>
      <c r="F891" s="36"/>
    </row>
    <row r="892">
      <c r="E892" s="28"/>
      <c r="F892" s="36"/>
    </row>
    <row r="893">
      <c r="E893" s="28"/>
      <c r="F893" s="36"/>
    </row>
    <row r="894">
      <c r="E894" s="28"/>
      <c r="F894" s="36"/>
    </row>
    <row r="895">
      <c r="E895" s="28"/>
      <c r="F895" s="36"/>
    </row>
    <row r="896">
      <c r="E896" s="28"/>
      <c r="F896" s="36"/>
    </row>
    <row r="897">
      <c r="E897" s="28"/>
      <c r="F897" s="36"/>
    </row>
    <row r="898">
      <c r="E898" s="28"/>
      <c r="F898" s="36"/>
    </row>
    <row r="899">
      <c r="E899" s="28"/>
      <c r="F899" s="36"/>
    </row>
    <row r="900">
      <c r="E900" s="28"/>
      <c r="F900" s="36"/>
    </row>
    <row r="901">
      <c r="E901" s="28"/>
      <c r="F901" s="36"/>
    </row>
    <row r="902">
      <c r="E902" s="28"/>
      <c r="F902" s="36"/>
    </row>
    <row r="903">
      <c r="E903" s="28"/>
      <c r="F903" s="36"/>
    </row>
    <row r="904">
      <c r="E904" s="28"/>
      <c r="F904" s="36"/>
    </row>
    <row r="905">
      <c r="E905" s="28"/>
      <c r="F905" s="36"/>
    </row>
    <row r="906">
      <c r="E906" s="28"/>
      <c r="F906" s="36"/>
    </row>
    <row r="907">
      <c r="E907" s="28"/>
      <c r="F907" s="36"/>
    </row>
    <row r="908">
      <c r="E908" s="28"/>
      <c r="F908" s="36"/>
    </row>
    <row r="909">
      <c r="E909" s="28"/>
      <c r="F909" s="36"/>
    </row>
    <row r="910">
      <c r="E910" s="28"/>
      <c r="F910" s="36"/>
    </row>
    <row r="911">
      <c r="E911" s="28"/>
      <c r="F911" s="36"/>
    </row>
    <row r="912">
      <c r="E912" s="28"/>
      <c r="F912" s="36"/>
    </row>
    <row r="913">
      <c r="E913" s="28"/>
      <c r="F913" s="36"/>
    </row>
    <row r="914">
      <c r="E914" s="28"/>
      <c r="F914" s="36"/>
    </row>
    <row r="915">
      <c r="E915" s="28"/>
      <c r="F915" s="36"/>
    </row>
    <row r="916">
      <c r="E916" s="28"/>
      <c r="F916" s="36"/>
    </row>
    <row r="917">
      <c r="E917" s="28"/>
      <c r="F917" s="36"/>
    </row>
    <row r="918">
      <c r="E918" s="28"/>
      <c r="F918" s="36"/>
    </row>
    <row r="919">
      <c r="E919" s="28"/>
      <c r="F919" s="36"/>
    </row>
    <row r="920">
      <c r="E920" s="28"/>
      <c r="F920" s="36"/>
    </row>
    <row r="921">
      <c r="E921" s="28"/>
      <c r="F921" s="36"/>
    </row>
    <row r="922">
      <c r="E922" s="28"/>
      <c r="F922" s="36"/>
    </row>
    <row r="923">
      <c r="E923" s="28"/>
      <c r="F923" s="36"/>
    </row>
    <row r="924">
      <c r="E924" s="28"/>
      <c r="F924" s="36"/>
    </row>
    <row r="925">
      <c r="E925" s="28"/>
      <c r="F925" s="36"/>
    </row>
    <row r="926">
      <c r="E926" s="28"/>
      <c r="F926" s="36"/>
    </row>
    <row r="927">
      <c r="E927" s="28"/>
      <c r="F927" s="36"/>
    </row>
    <row r="928">
      <c r="E928" s="28"/>
      <c r="F928" s="36"/>
    </row>
    <row r="929">
      <c r="E929" s="28"/>
      <c r="F929" s="36"/>
    </row>
    <row r="930">
      <c r="E930" s="28"/>
      <c r="F930" s="36"/>
    </row>
    <row r="931">
      <c r="E931" s="28"/>
      <c r="F931" s="36"/>
    </row>
    <row r="932">
      <c r="E932" s="28"/>
      <c r="F932" s="36"/>
    </row>
    <row r="933">
      <c r="E933" s="28"/>
      <c r="F933" s="36"/>
    </row>
    <row r="934">
      <c r="E934" s="28"/>
      <c r="F934" s="36"/>
    </row>
    <row r="935">
      <c r="E935" s="28"/>
      <c r="F935" s="36"/>
    </row>
    <row r="936">
      <c r="E936" s="28"/>
      <c r="F936" s="36"/>
    </row>
    <row r="937">
      <c r="E937" s="28"/>
      <c r="F937" s="36"/>
    </row>
    <row r="938">
      <c r="E938" s="28"/>
      <c r="F938" s="36"/>
    </row>
    <row r="939">
      <c r="E939" s="28"/>
      <c r="F939" s="36"/>
    </row>
    <row r="940">
      <c r="E940" s="28"/>
      <c r="F940" s="36"/>
    </row>
    <row r="941">
      <c r="E941" s="28"/>
      <c r="F941" s="36"/>
    </row>
    <row r="942">
      <c r="E942" s="28"/>
      <c r="F942" s="36"/>
    </row>
    <row r="943">
      <c r="E943" s="28"/>
      <c r="F943" s="36"/>
    </row>
    <row r="944">
      <c r="E944" s="28"/>
      <c r="F944" s="36"/>
    </row>
    <row r="945">
      <c r="E945" s="28"/>
      <c r="F945" s="36"/>
    </row>
    <row r="946">
      <c r="E946" s="28"/>
      <c r="F946" s="36"/>
    </row>
    <row r="947">
      <c r="E947" s="28"/>
      <c r="F947" s="36"/>
    </row>
    <row r="948">
      <c r="E948" s="28"/>
      <c r="F948" s="36"/>
    </row>
    <row r="949">
      <c r="E949" s="28"/>
      <c r="F949" s="36"/>
    </row>
    <row r="950">
      <c r="E950" s="28"/>
      <c r="F950" s="36"/>
    </row>
    <row r="951">
      <c r="E951" s="28"/>
      <c r="F951" s="36"/>
    </row>
    <row r="952">
      <c r="E952" s="28"/>
      <c r="F952" s="36"/>
    </row>
    <row r="953">
      <c r="E953" s="28"/>
      <c r="F953" s="36"/>
    </row>
    <row r="954">
      <c r="E954" s="28"/>
      <c r="F954" s="36"/>
    </row>
    <row r="955">
      <c r="E955" s="28"/>
      <c r="F955" s="36"/>
    </row>
    <row r="956">
      <c r="E956" s="28"/>
      <c r="F956" s="36"/>
    </row>
    <row r="957">
      <c r="E957" s="28"/>
      <c r="F957" s="36"/>
    </row>
    <row r="958">
      <c r="E958" s="28"/>
      <c r="F958" s="36"/>
    </row>
    <row r="959">
      <c r="E959" s="28"/>
      <c r="F959" s="36"/>
    </row>
    <row r="960">
      <c r="E960" s="28"/>
      <c r="F960" s="36"/>
    </row>
    <row r="961">
      <c r="E961" s="28"/>
      <c r="F961" s="36"/>
    </row>
    <row r="962">
      <c r="E962" s="28"/>
      <c r="F962" s="36"/>
    </row>
    <row r="963">
      <c r="E963" s="28"/>
      <c r="F963" s="36"/>
    </row>
    <row r="964">
      <c r="E964" s="28"/>
      <c r="F964" s="36"/>
    </row>
    <row r="965">
      <c r="E965" s="28"/>
      <c r="F965" s="36"/>
    </row>
    <row r="966">
      <c r="E966" s="28"/>
      <c r="F966" s="36"/>
    </row>
    <row r="967">
      <c r="E967" s="28"/>
      <c r="F967" s="36"/>
    </row>
    <row r="968">
      <c r="E968" s="28"/>
      <c r="F968" s="36"/>
    </row>
    <row r="969">
      <c r="E969" s="28"/>
      <c r="F969" s="36"/>
    </row>
    <row r="970">
      <c r="E970" s="28"/>
      <c r="F970" s="36"/>
    </row>
    <row r="971">
      <c r="E971" s="28"/>
      <c r="F971" s="36"/>
    </row>
    <row r="972">
      <c r="E972" s="28"/>
      <c r="F972" s="36"/>
    </row>
    <row r="973">
      <c r="E973" s="28"/>
      <c r="F973" s="36"/>
    </row>
    <row r="974">
      <c r="E974" s="28"/>
      <c r="F974" s="36"/>
    </row>
    <row r="975">
      <c r="E975" s="28"/>
      <c r="F975" s="36"/>
    </row>
    <row r="976">
      <c r="E976" s="28"/>
      <c r="F976" s="36"/>
    </row>
    <row r="977">
      <c r="E977" s="28"/>
      <c r="F977" s="36"/>
    </row>
    <row r="978">
      <c r="E978" s="28"/>
      <c r="F978" s="36"/>
    </row>
    <row r="979">
      <c r="E979" s="28"/>
      <c r="F979" s="36"/>
    </row>
    <row r="980">
      <c r="E980" s="28"/>
      <c r="F980" s="36"/>
    </row>
    <row r="981">
      <c r="E981" s="28"/>
      <c r="F981" s="36"/>
    </row>
    <row r="982">
      <c r="E982" s="28"/>
      <c r="F982" s="36"/>
    </row>
    <row r="983">
      <c r="E983" s="28"/>
      <c r="F983" s="36"/>
    </row>
    <row r="984">
      <c r="E984" s="28"/>
      <c r="F984" s="36"/>
    </row>
    <row r="985">
      <c r="E985" s="28"/>
      <c r="F985" s="36"/>
    </row>
    <row r="986">
      <c r="E986" s="28"/>
      <c r="F986" s="36"/>
    </row>
    <row r="987">
      <c r="E987" s="28"/>
      <c r="F987" s="36"/>
    </row>
    <row r="988">
      <c r="E988" s="28"/>
      <c r="F988" s="36"/>
    </row>
    <row r="989">
      <c r="E989" s="28"/>
      <c r="F989" s="36"/>
    </row>
    <row r="990">
      <c r="E990" s="28"/>
      <c r="F990" s="36"/>
    </row>
    <row r="991">
      <c r="E991" s="28"/>
      <c r="F991" s="36"/>
    </row>
    <row r="992">
      <c r="E992" s="28"/>
      <c r="F992" s="36"/>
    </row>
    <row r="993">
      <c r="E993" s="28"/>
      <c r="F993" s="36"/>
    </row>
    <row r="994">
      <c r="E994" s="28"/>
      <c r="F994" s="36"/>
    </row>
    <row r="995">
      <c r="E995" s="28"/>
      <c r="F995" s="36"/>
    </row>
    <row r="996">
      <c r="E996" s="28"/>
      <c r="F996" s="36"/>
    </row>
    <row r="997">
      <c r="E997" s="28"/>
      <c r="F997" s="36"/>
    </row>
    <row r="998">
      <c r="E998" s="28"/>
      <c r="F998" s="36"/>
    </row>
    <row r="999">
      <c r="E999" s="28"/>
      <c r="F999" s="3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3" t="s">
        <v>1282</v>
      </c>
      <c r="B1" s="23" t="s">
        <v>1283</v>
      </c>
      <c r="C1" s="16" t="s">
        <v>1284</v>
      </c>
      <c r="D1" s="16" t="s">
        <v>1285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5" t="s">
        <v>1286</v>
      </c>
      <c r="B1" s="23" t="s">
        <v>1287</v>
      </c>
      <c r="C1" s="23" t="s">
        <v>4</v>
      </c>
    </row>
    <row r="2">
      <c r="A2" s="27">
        <v>46043.86858061343</v>
      </c>
      <c r="B2" s="16" t="s">
        <v>1288</v>
      </c>
      <c r="C2" s="16" t="s">
        <v>1289</v>
      </c>
    </row>
    <row r="3">
      <c r="A3" s="29"/>
    </row>
    <row r="4">
      <c r="A4" s="29"/>
    </row>
    <row r="5">
      <c r="A5" s="29"/>
    </row>
    <row r="6">
      <c r="A6" s="29"/>
    </row>
    <row r="7">
      <c r="A7" s="29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25.13"/>
    <col customWidth="1" min="3" max="3" width="12.63"/>
    <col customWidth="1" min="4" max="4" width="18.88"/>
    <col customWidth="1" min="5" max="7" width="15.13"/>
    <col customWidth="1" min="8" max="8" width="31.38"/>
    <col customWidth="1" min="9" max="9" width="25.13"/>
    <col customWidth="1" min="10" max="12" width="15.13"/>
    <col customWidth="1" min="13" max="13" width="12.63"/>
  </cols>
  <sheetData>
    <row r="1">
      <c r="A1" s="37" t="s">
        <v>57</v>
      </c>
      <c r="B1" s="37" t="s">
        <v>122</v>
      </c>
      <c r="C1" s="37" t="s">
        <v>121</v>
      </c>
      <c r="D1" s="37" t="s">
        <v>123</v>
      </c>
      <c r="E1" s="37" t="s">
        <v>124</v>
      </c>
      <c r="F1" s="37" t="s">
        <v>118</v>
      </c>
      <c r="G1" s="37" t="s">
        <v>1290</v>
      </c>
      <c r="H1" s="37" t="s">
        <v>1291</v>
      </c>
      <c r="I1" s="37" t="s">
        <v>1292</v>
      </c>
      <c r="J1" s="37" t="s">
        <v>1293</v>
      </c>
      <c r="K1" s="37" t="s">
        <v>1294</v>
      </c>
      <c r="L1" s="37" t="s">
        <v>1295</v>
      </c>
      <c r="M1" s="37" t="s">
        <v>1296</v>
      </c>
      <c r="N1" s="38"/>
      <c r="O1" s="3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39"/>
      <c r="B2" s="40"/>
      <c r="C2" s="40"/>
      <c r="D2" s="40"/>
      <c r="E2" s="40"/>
      <c r="F2" s="41"/>
      <c r="G2" s="40"/>
      <c r="H2" s="42"/>
      <c r="I2" s="40"/>
      <c r="J2" s="40"/>
      <c r="K2" s="40"/>
      <c r="L2" s="40">
        <f>IF(C2&lt;0, ABS(C2), -C2)</f>
        <v>0</v>
      </c>
      <c r="M2" s="42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>
      <c r="A3" s="39"/>
      <c r="B3" s="40"/>
      <c r="C3" s="40"/>
      <c r="D3" s="40"/>
      <c r="E3" s="40"/>
      <c r="F3" s="41"/>
      <c r="G3" s="40"/>
      <c r="H3" s="42"/>
      <c r="I3" s="40"/>
      <c r="J3" s="40"/>
      <c r="K3" s="40"/>
      <c r="L3" s="40">
        <f t="shared" ref="L3:L1000" si="1">L2 + IF(C3&lt;0, ABS(C3), -C3)</f>
        <v>0</v>
      </c>
      <c r="M3" s="42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>
      <c r="A4" s="39"/>
      <c r="B4" s="40"/>
      <c r="C4" s="40"/>
      <c r="D4" s="40"/>
      <c r="E4" s="40"/>
      <c r="F4" s="40"/>
      <c r="G4" s="41"/>
      <c r="H4" s="42"/>
      <c r="I4" s="40"/>
      <c r="J4" s="40"/>
      <c r="K4" s="40"/>
      <c r="L4" s="40">
        <f t="shared" si="1"/>
        <v>0</v>
      </c>
      <c r="M4" s="42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>
      <c r="A5" s="39"/>
      <c r="B5" s="40"/>
      <c r="C5" s="40"/>
      <c r="D5" s="40"/>
      <c r="E5" s="40"/>
      <c r="F5" s="40"/>
      <c r="G5" s="41"/>
      <c r="H5" s="42"/>
      <c r="I5" s="40"/>
      <c r="J5" s="40"/>
      <c r="K5" s="40"/>
      <c r="L5" s="40">
        <f t="shared" si="1"/>
        <v>0</v>
      </c>
      <c r="M5" s="42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>
      <c r="A6" s="39"/>
      <c r="B6" s="40"/>
      <c r="C6" s="40"/>
      <c r="D6" s="40"/>
      <c r="E6" s="40"/>
      <c r="F6" s="41"/>
      <c r="G6" s="41"/>
      <c r="H6" s="42"/>
      <c r="I6" s="40"/>
      <c r="J6" s="40"/>
      <c r="K6" s="40"/>
      <c r="L6" s="40">
        <f t="shared" si="1"/>
        <v>0</v>
      </c>
      <c r="M6" s="42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>
      <c r="A7" s="39"/>
      <c r="B7" s="40"/>
      <c r="C7" s="40"/>
      <c r="D7" s="40"/>
      <c r="E7" s="40"/>
      <c r="F7" s="41"/>
      <c r="G7" s="41"/>
      <c r="H7" s="42"/>
      <c r="I7" s="40"/>
      <c r="J7" s="40"/>
      <c r="K7" s="40"/>
      <c r="L7" s="40">
        <f t="shared" si="1"/>
        <v>0</v>
      </c>
      <c r="M7" s="42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>
      <c r="A8" s="39"/>
      <c r="B8" s="40"/>
      <c r="C8" s="40"/>
      <c r="D8" s="40"/>
      <c r="E8" s="40"/>
      <c r="F8" s="41"/>
      <c r="G8" s="41"/>
      <c r="H8" s="42"/>
      <c r="I8" s="40"/>
      <c r="J8" s="40"/>
      <c r="K8" s="40"/>
      <c r="L8" s="40">
        <f t="shared" si="1"/>
        <v>0</v>
      </c>
      <c r="M8" s="42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39"/>
      <c r="B9" s="40"/>
      <c r="C9" s="40"/>
      <c r="D9" s="40"/>
      <c r="E9" s="40"/>
      <c r="F9" s="41"/>
      <c r="G9" s="41"/>
      <c r="H9" s="42"/>
      <c r="I9" s="40"/>
      <c r="J9" s="40"/>
      <c r="K9" s="40"/>
      <c r="L9" s="40">
        <f t="shared" si="1"/>
        <v>0</v>
      </c>
      <c r="M9" s="42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39"/>
      <c r="B10" s="40"/>
      <c r="C10" s="40"/>
      <c r="D10" s="40"/>
      <c r="E10" s="40"/>
      <c r="F10" s="40"/>
      <c r="G10" s="40"/>
      <c r="H10" s="42"/>
      <c r="I10" s="40"/>
      <c r="J10" s="40"/>
      <c r="K10" s="40"/>
      <c r="L10" s="40">
        <f t="shared" si="1"/>
        <v>0</v>
      </c>
      <c r="M10" s="42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>
      <c r="A11" s="39"/>
      <c r="B11" s="40"/>
      <c r="C11" s="40"/>
      <c r="D11" s="40"/>
      <c r="E11" s="40"/>
      <c r="F11" s="40"/>
      <c r="G11" s="40"/>
      <c r="H11" s="42"/>
      <c r="I11" s="40"/>
      <c r="J11" s="40"/>
      <c r="K11" s="40"/>
      <c r="L11" s="40">
        <f t="shared" si="1"/>
        <v>0</v>
      </c>
      <c r="M11" s="42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>
      <c r="A12" s="39"/>
      <c r="B12" s="40"/>
      <c r="C12" s="40"/>
      <c r="D12" s="40"/>
      <c r="E12" s="40"/>
      <c r="F12" s="40"/>
      <c r="G12" s="40"/>
      <c r="H12" s="42"/>
      <c r="I12" s="40"/>
      <c r="J12" s="40"/>
      <c r="K12" s="40"/>
      <c r="L12" s="40">
        <f t="shared" si="1"/>
        <v>0</v>
      </c>
      <c r="M12" s="42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>
      <c r="A13" s="39"/>
      <c r="B13" s="40"/>
      <c r="C13" s="40"/>
      <c r="D13" s="40"/>
      <c r="E13" s="40"/>
      <c r="F13" s="41"/>
      <c r="G13" s="41"/>
      <c r="H13" s="42"/>
      <c r="I13" s="40"/>
      <c r="J13" s="40"/>
      <c r="K13" s="40"/>
      <c r="L13" s="40">
        <f t="shared" si="1"/>
        <v>0</v>
      </c>
      <c r="M13" s="42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>
      <c r="A14" s="39"/>
      <c r="B14" s="40"/>
      <c r="C14" s="40"/>
      <c r="D14" s="40"/>
      <c r="E14" s="40"/>
      <c r="F14" s="41"/>
      <c r="G14" s="40"/>
      <c r="H14" s="42"/>
      <c r="I14" s="40"/>
      <c r="J14" s="40"/>
      <c r="K14" s="40"/>
      <c r="L14" s="40">
        <f t="shared" si="1"/>
        <v>0</v>
      </c>
      <c r="M14" s="42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>
      <c r="A15" s="39"/>
      <c r="B15" s="40"/>
      <c r="C15" s="40"/>
      <c r="D15" s="40"/>
      <c r="E15" s="40"/>
      <c r="F15" s="41"/>
      <c r="G15" s="40"/>
      <c r="H15" s="42"/>
      <c r="I15" s="40"/>
      <c r="J15" s="40"/>
      <c r="K15" s="40"/>
      <c r="L15" s="40">
        <f t="shared" si="1"/>
        <v>0</v>
      </c>
      <c r="M15" s="42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39"/>
      <c r="B16" s="40"/>
      <c r="C16" s="40"/>
      <c r="D16" s="40"/>
      <c r="E16" s="40"/>
      <c r="F16" s="41"/>
      <c r="G16" s="40"/>
      <c r="H16" s="42"/>
      <c r="I16" s="40"/>
      <c r="J16" s="40"/>
      <c r="K16" s="40"/>
      <c r="L16" s="40">
        <f t="shared" si="1"/>
        <v>0</v>
      </c>
      <c r="M16" s="42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39"/>
      <c r="B17" s="40"/>
      <c r="C17" s="40"/>
      <c r="D17" s="40"/>
      <c r="E17" s="40"/>
      <c r="F17" s="41"/>
      <c r="G17" s="40"/>
      <c r="H17" s="42"/>
      <c r="I17" s="40"/>
      <c r="J17" s="40"/>
      <c r="K17" s="40"/>
      <c r="L17" s="40">
        <f t="shared" si="1"/>
        <v>0</v>
      </c>
      <c r="M17" s="42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39"/>
      <c r="B18" s="40"/>
      <c r="C18" s="40"/>
      <c r="D18" s="40"/>
      <c r="E18" s="40"/>
      <c r="F18" s="41"/>
      <c r="G18" s="40"/>
      <c r="H18" s="42"/>
      <c r="I18" s="40"/>
      <c r="J18" s="40"/>
      <c r="K18" s="40"/>
      <c r="L18" s="40">
        <f t="shared" si="1"/>
        <v>0</v>
      </c>
      <c r="M18" s="42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39"/>
      <c r="B19" s="40"/>
      <c r="C19" s="40"/>
      <c r="D19" s="40"/>
      <c r="E19" s="40"/>
      <c r="F19" s="41"/>
      <c r="G19" s="40"/>
      <c r="H19" s="42"/>
      <c r="I19" s="40"/>
      <c r="J19" s="40"/>
      <c r="K19" s="40"/>
      <c r="L19" s="40">
        <f t="shared" si="1"/>
        <v>0</v>
      </c>
      <c r="M19" s="42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39"/>
      <c r="B20" s="40"/>
      <c r="C20" s="40"/>
      <c r="D20" s="40"/>
      <c r="E20" s="40"/>
      <c r="F20" s="41"/>
      <c r="G20" s="40"/>
      <c r="H20" s="42"/>
      <c r="I20" s="40"/>
      <c r="J20" s="40"/>
      <c r="K20" s="40"/>
      <c r="L20" s="40">
        <f t="shared" si="1"/>
        <v>0</v>
      </c>
      <c r="M20" s="42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39"/>
      <c r="B21" s="40"/>
      <c r="C21" s="40"/>
      <c r="D21" s="40"/>
      <c r="E21" s="40"/>
      <c r="F21" s="41"/>
      <c r="G21" s="40"/>
      <c r="H21" s="42"/>
      <c r="I21" s="40"/>
      <c r="J21" s="40"/>
      <c r="K21" s="40"/>
      <c r="L21" s="40">
        <f t="shared" si="1"/>
        <v>0</v>
      </c>
      <c r="M21" s="42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>
      <c r="A22" s="39"/>
      <c r="B22" s="40"/>
      <c r="C22" s="40"/>
      <c r="D22" s="40"/>
      <c r="E22" s="40"/>
      <c r="F22" s="41"/>
      <c r="G22" s="40"/>
      <c r="H22" s="42"/>
      <c r="I22" s="40"/>
      <c r="J22" s="40"/>
      <c r="K22" s="40"/>
      <c r="L22" s="40">
        <f t="shared" si="1"/>
        <v>0</v>
      </c>
      <c r="M22" s="42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>
      <c r="A23" s="39"/>
      <c r="B23" s="40"/>
      <c r="C23" s="40"/>
      <c r="D23" s="40"/>
      <c r="E23" s="40"/>
      <c r="F23" s="41"/>
      <c r="G23" s="40"/>
      <c r="H23" s="42"/>
      <c r="I23" s="40"/>
      <c r="J23" s="40"/>
      <c r="K23" s="40"/>
      <c r="L23" s="40">
        <f t="shared" si="1"/>
        <v>0</v>
      </c>
      <c r="M23" s="42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>
      <c r="A24" s="39"/>
      <c r="B24" s="40"/>
      <c r="C24" s="40"/>
      <c r="D24" s="40"/>
      <c r="E24" s="40"/>
      <c r="F24" s="41"/>
      <c r="G24" s="40"/>
      <c r="H24" s="42"/>
      <c r="I24" s="40"/>
      <c r="J24" s="40"/>
      <c r="K24" s="40"/>
      <c r="L24" s="40">
        <f t="shared" si="1"/>
        <v>0</v>
      </c>
      <c r="M24" s="42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>
      <c r="A25" s="39"/>
      <c r="B25" s="40"/>
      <c r="C25" s="40"/>
      <c r="D25" s="40"/>
      <c r="E25" s="40"/>
      <c r="F25" s="41"/>
      <c r="G25" s="40"/>
      <c r="H25" s="42"/>
      <c r="I25" s="40"/>
      <c r="J25" s="40"/>
      <c r="K25" s="40"/>
      <c r="L25" s="40">
        <f t="shared" si="1"/>
        <v>0</v>
      </c>
      <c r="M25" s="42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>
      <c r="A26" s="39"/>
      <c r="B26" s="40"/>
      <c r="C26" s="40"/>
      <c r="D26" s="40"/>
      <c r="E26" s="40"/>
      <c r="F26" s="41"/>
      <c r="G26" s="40"/>
      <c r="H26" s="42"/>
      <c r="I26" s="40"/>
      <c r="J26" s="40"/>
      <c r="K26" s="40"/>
      <c r="L26" s="40">
        <f t="shared" si="1"/>
        <v>0</v>
      </c>
      <c r="M26" s="42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>
      <c r="A27" s="39"/>
      <c r="B27" s="40"/>
      <c r="C27" s="40"/>
      <c r="D27" s="40"/>
      <c r="E27" s="40"/>
      <c r="F27" s="41"/>
      <c r="G27" s="40"/>
      <c r="H27" s="42"/>
      <c r="I27" s="40"/>
      <c r="J27" s="40"/>
      <c r="K27" s="40"/>
      <c r="L27" s="40">
        <f t="shared" si="1"/>
        <v>0</v>
      </c>
      <c r="M27" s="42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>
      <c r="A28" s="39"/>
      <c r="B28" s="40"/>
      <c r="C28" s="40"/>
      <c r="D28" s="40"/>
      <c r="E28" s="40"/>
      <c r="F28" s="41"/>
      <c r="G28" s="40"/>
      <c r="H28" s="42"/>
      <c r="I28" s="40"/>
      <c r="J28" s="40"/>
      <c r="K28" s="40"/>
      <c r="L28" s="40">
        <f t="shared" si="1"/>
        <v>0</v>
      </c>
      <c r="M28" s="42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>
      <c r="A29" s="39"/>
      <c r="B29" s="40"/>
      <c r="C29" s="40"/>
      <c r="D29" s="40"/>
      <c r="E29" s="40"/>
      <c r="F29" s="41"/>
      <c r="G29" s="40"/>
      <c r="H29" s="42"/>
      <c r="I29" s="40"/>
      <c r="J29" s="40"/>
      <c r="K29" s="40"/>
      <c r="L29" s="40">
        <f t="shared" si="1"/>
        <v>0</v>
      </c>
      <c r="M29" s="42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>
      <c r="A30" s="39"/>
      <c r="B30" s="40"/>
      <c r="C30" s="40"/>
      <c r="D30" s="40"/>
      <c r="E30" s="40"/>
      <c r="F30" s="41"/>
      <c r="G30" s="40"/>
      <c r="H30" s="42"/>
      <c r="I30" s="40"/>
      <c r="J30" s="40"/>
      <c r="K30" s="40"/>
      <c r="L30" s="40">
        <f t="shared" si="1"/>
        <v>0</v>
      </c>
      <c r="M30" s="42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>
      <c r="A31" s="39"/>
      <c r="B31" s="40"/>
      <c r="C31" s="40"/>
      <c r="D31" s="40"/>
      <c r="E31" s="40"/>
      <c r="F31" s="41"/>
      <c r="G31" s="40"/>
      <c r="H31" s="42"/>
      <c r="I31" s="40"/>
      <c r="J31" s="40"/>
      <c r="K31" s="40"/>
      <c r="L31" s="40">
        <f t="shared" si="1"/>
        <v>0</v>
      </c>
      <c r="M31" s="42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>
      <c r="A32" s="39"/>
      <c r="B32" s="40"/>
      <c r="C32" s="40"/>
      <c r="D32" s="40"/>
      <c r="E32" s="40"/>
      <c r="F32" s="41"/>
      <c r="G32" s="40"/>
      <c r="H32" s="42"/>
      <c r="I32" s="40"/>
      <c r="J32" s="40"/>
      <c r="K32" s="40"/>
      <c r="L32" s="40">
        <f t="shared" si="1"/>
        <v>0</v>
      </c>
      <c r="M32" s="42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>
      <c r="A33" s="39"/>
      <c r="B33" s="40"/>
      <c r="C33" s="40"/>
      <c r="D33" s="40"/>
      <c r="E33" s="40"/>
      <c r="F33" s="41"/>
      <c r="G33" s="40"/>
      <c r="H33" s="42"/>
      <c r="I33" s="40"/>
      <c r="J33" s="40"/>
      <c r="K33" s="40"/>
      <c r="L33" s="40">
        <f t="shared" si="1"/>
        <v>0</v>
      </c>
      <c r="M33" s="42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>
      <c r="A34" s="39"/>
      <c r="B34" s="40"/>
      <c r="C34" s="40"/>
      <c r="D34" s="40"/>
      <c r="E34" s="40"/>
      <c r="F34" s="41"/>
      <c r="G34" s="40"/>
      <c r="H34" s="42"/>
      <c r="I34" s="40"/>
      <c r="J34" s="40"/>
      <c r="K34" s="40"/>
      <c r="L34" s="40">
        <f t="shared" si="1"/>
        <v>0</v>
      </c>
      <c r="M34" s="42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>
      <c r="A35" s="39"/>
      <c r="B35" s="40"/>
      <c r="C35" s="40"/>
      <c r="D35" s="40"/>
      <c r="E35" s="40"/>
      <c r="F35" s="41"/>
      <c r="G35" s="40"/>
      <c r="H35" s="42"/>
      <c r="I35" s="40"/>
      <c r="J35" s="40"/>
      <c r="K35" s="40"/>
      <c r="L35" s="40">
        <f t="shared" si="1"/>
        <v>0</v>
      </c>
      <c r="M35" s="42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>
      <c r="A36" s="39"/>
      <c r="B36" s="40"/>
      <c r="C36" s="40"/>
      <c r="D36" s="40"/>
      <c r="E36" s="40"/>
      <c r="F36" s="41"/>
      <c r="G36" s="40"/>
      <c r="H36" s="42"/>
      <c r="I36" s="40"/>
      <c r="J36" s="40"/>
      <c r="K36" s="40"/>
      <c r="L36" s="40">
        <f t="shared" si="1"/>
        <v>0</v>
      </c>
      <c r="M36" s="42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>
      <c r="A37" s="39"/>
      <c r="B37" s="40"/>
      <c r="C37" s="40"/>
      <c r="D37" s="40"/>
      <c r="E37" s="40"/>
      <c r="F37" s="41"/>
      <c r="G37" s="40"/>
      <c r="H37" s="42"/>
      <c r="I37" s="40"/>
      <c r="J37" s="40"/>
      <c r="K37" s="40"/>
      <c r="L37" s="40">
        <f t="shared" si="1"/>
        <v>0</v>
      </c>
      <c r="M37" s="42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>
      <c r="A38" s="39"/>
      <c r="B38" s="40"/>
      <c r="C38" s="40"/>
      <c r="D38" s="40"/>
      <c r="E38" s="40"/>
      <c r="F38" s="41"/>
      <c r="G38" s="40"/>
      <c r="H38" s="42"/>
      <c r="I38" s="40"/>
      <c r="J38" s="40"/>
      <c r="K38" s="40"/>
      <c r="L38" s="40">
        <f t="shared" si="1"/>
        <v>0</v>
      </c>
      <c r="M38" s="42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>
      <c r="A39" s="39"/>
      <c r="B39" s="40"/>
      <c r="C39" s="40"/>
      <c r="D39" s="40"/>
      <c r="E39" s="40"/>
      <c r="F39" s="41"/>
      <c r="G39" s="40"/>
      <c r="H39" s="42"/>
      <c r="I39" s="40"/>
      <c r="J39" s="40"/>
      <c r="K39" s="40"/>
      <c r="L39" s="40">
        <f t="shared" si="1"/>
        <v>0</v>
      </c>
      <c r="M39" s="42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>
      <c r="A40" s="39"/>
      <c r="B40" s="40"/>
      <c r="C40" s="40"/>
      <c r="D40" s="40"/>
      <c r="E40" s="40"/>
      <c r="F40" s="41"/>
      <c r="G40" s="40"/>
      <c r="H40" s="42"/>
      <c r="I40" s="40"/>
      <c r="J40" s="40"/>
      <c r="K40" s="40"/>
      <c r="L40" s="40">
        <f t="shared" si="1"/>
        <v>0</v>
      </c>
      <c r="M40" s="42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>
      <c r="A41" s="39"/>
      <c r="B41" s="40"/>
      <c r="C41" s="40"/>
      <c r="D41" s="40"/>
      <c r="E41" s="40"/>
      <c r="F41" s="41"/>
      <c r="G41" s="40"/>
      <c r="H41" s="42"/>
      <c r="I41" s="40"/>
      <c r="J41" s="40"/>
      <c r="K41" s="40"/>
      <c r="L41" s="40">
        <f t="shared" si="1"/>
        <v>0</v>
      </c>
      <c r="M41" s="42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>
      <c r="A42" s="39"/>
      <c r="B42" s="40"/>
      <c r="C42" s="40"/>
      <c r="D42" s="40"/>
      <c r="E42" s="40"/>
      <c r="F42" s="41"/>
      <c r="G42" s="40"/>
      <c r="H42" s="42"/>
      <c r="I42" s="40"/>
      <c r="J42" s="40"/>
      <c r="K42" s="40"/>
      <c r="L42" s="40">
        <f t="shared" si="1"/>
        <v>0</v>
      </c>
      <c r="M42" s="42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>
      <c r="A43" s="39"/>
      <c r="B43" s="40"/>
      <c r="C43" s="40"/>
      <c r="D43" s="40"/>
      <c r="E43" s="40"/>
      <c r="F43" s="41"/>
      <c r="G43" s="40"/>
      <c r="H43" s="42"/>
      <c r="I43" s="40"/>
      <c r="J43" s="40"/>
      <c r="K43" s="40"/>
      <c r="L43" s="40">
        <f t="shared" si="1"/>
        <v>0</v>
      </c>
      <c r="M43" s="42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>
      <c r="A44" s="39"/>
      <c r="B44" s="40"/>
      <c r="C44" s="40"/>
      <c r="D44" s="40"/>
      <c r="E44" s="40"/>
      <c r="F44" s="41"/>
      <c r="G44" s="40"/>
      <c r="H44" s="42"/>
      <c r="I44" s="40"/>
      <c r="J44" s="40"/>
      <c r="K44" s="40"/>
      <c r="L44" s="40">
        <f t="shared" si="1"/>
        <v>0</v>
      </c>
      <c r="M44" s="42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>
      <c r="A45" s="39"/>
      <c r="B45" s="40"/>
      <c r="C45" s="40"/>
      <c r="D45" s="40"/>
      <c r="E45" s="40"/>
      <c r="F45" s="41"/>
      <c r="G45" s="40"/>
      <c r="H45" s="42"/>
      <c r="I45" s="40"/>
      <c r="J45" s="40"/>
      <c r="K45" s="40"/>
      <c r="L45" s="40">
        <f t="shared" si="1"/>
        <v>0</v>
      </c>
      <c r="M45" s="42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>
      <c r="A46" s="39"/>
      <c r="B46" s="40"/>
      <c r="C46" s="40"/>
      <c r="D46" s="40"/>
      <c r="E46" s="40"/>
      <c r="F46" s="41"/>
      <c r="G46" s="40"/>
      <c r="H46" s="42"/>
      <c r="I46" s="40"/>
      <c r="J46" s="40"/>
      <c r="K46" s="40"/>
      <c r="L46" s="40">
        <f t="shared" si="1"/>
        <v>0</v>
      </c>
      <c r="M46" s="42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>
      <c r="A47" s="39"/>
      <c r="B47" s="40"/>
      <c r="C47" s="40"/>
      <c r="D47" s="40"/>
      <c r="E47" s="40"/>
      <c r="F47" s="41"/>
      <c r="G47" s="40"/>
      <c r="H47" s="42"/>
      <c r="I47" s="40"/>
      <c r="J47" s="40"/>
      <c r="K47" s="40"/>
      <c r="L47" s="40">
        <f t="shared" si="1"/>
        <v>0</v>
      </c>
      <c r="M47" s="42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>
      <c r="A48" s="39"/>
      <c r="B48" s="40"/>
      <c r="C48" s="40"/>
      <c r="D48" s="40"/>
      <c r="E48" s="40"/>
      <c r="F48" s="41"/>
      <c r="G48" s="40"/>
      <c r="H48" s="42"/>
      <c r="I48" s="40"/>
      <c r="J48" s="40"/>
      <c r="K48" s="40"/>
      <c r="L48" s="40">
        <f t="shared" si="1"/>
        <v>0</v>
      </c>
      <c r="M48" s="42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>
      <c r="A49" s="39"/>
      <c r="B49" s="40"/>
      <c r="C49" s="40"/>
      <c r="D49" s="40"/>
      <c r="E49" s="40"/>
      <c r="F49" s="41"/>
      <c r="G49" s="40"/>
      <c r="H49" s="42"/>
      <c r="I49" s="40"/>
      <c r="J49" s="40"/>
      <c r="K49" s="40"/>
      <c r="L49" s="40">
        <f t="shared" si="1"/>
        <v>0</v>
      </c>
      <c r="M49" s="42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>
      <c r="A50" s="39"/>
      <c r="B50" s="40"/>
      <c r="C50" s="40"/>
      <c r="D50" s="40"/>
      <c r="E50" s="40"/>
      <c r="F50" s="41"/>
      <c r="G50" s="40"/>
      <c r="H50" s="42"/>
      <c r="I50" s="40"/>
      <c r="J50" s="40"/>
      <c r="K50" s="40"/>
      <c r="L50" s="40">
        <f t="shared" si="1"/>
        <v>0</v>
      </c>
      <c r="M50" s="42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>
      <c r="A51" s="39"/>
      <c r="B51" s="40"/>
      <c r="C51" s="40"/>
      <c r="D51" s="40"/>
      <c r="E51" s="40"/>
      <c r="F51" s="41"/>
      <c r="G51" s="40"/>
      <c r="H51" s="42"/>
      <c r="I51" s="40"/>
      <c r="J51" s="40"/>
      <c r="K51" s="40"/>
      <c r="L51" s="40">
        <f t="shared" si="1"/>
        <v>0</v>
      </c>
      <c r="M51" s="42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>
      <c r="A52" s="39"/>
      <c r="B52" s="40"/>
      <c r="C52" s="40"/>
      <c r="D52" s="40"/>
      <c r="E52" s="40"/>
      <c r="F52" s="41"/>
      <c r="G52" s="40"/>
      <c r="H52" s="42"/>
      <c r="I52" s="40"/>
      <c r="J52" s="40"/>
      <c r="K52" s="40"/>
      <c r="L52" s="40">
        <f t="shared" si="1"/>
        <v>0</v>
      </c>
      <c r="M52" s="42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>
      <c r="A53" s="39"/>
      <c r="B53" s="40"/>
      <c r="C53" s="40"/>
      <c r="D53" s="40"/>
      <c r="E53" s="40"/>
      <c r="F53" s="41"/>
      <c r="G53" s="40"/>
      <c r="H53" s="42"/>
      <c r="I53" s="40"/>
      <c r="J53" s="40"/>
      <c r="K53" s="40"/>
      <c r="L53" s="40">
        <f t="shared" si="1"/>
        <v>0</v>
      </c>
      <c r="M53" s="42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>
      <c r="A54" s="39"/>
      <c r="B54" s="40"/>
      <c r="C54" s="40"/>
      <c r="D54" s="40"/>
      <c r="E54" s="40"/>
      <c r="F54" s="41"/>
      <c r="G54" s="40"/>
      <c r="H54" s="42"/>
      <c r="I54" s="40"/>
      <c r="J54" s="40"/>
      <c r="K54" s="40"/>
      <c r="L54" s="40">
        <f t="shared" si="1"/>
        <v>0</v>
      </c>
      <c r="M54" s="42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>
      <c r="A55" s="39"/>
      <c r="B55" s="40"/>
      <c r="C55" s="40"/>
      <c r="D55" s="40"/>
      <c r="E55" s="40"/>
      <c r="F55" s="41"/>
      <c r="G55" s="40"/>
      <c r="H55" s="42"/>
      <c r="I55" s="40"/>
      <c r="J55" s="40"/>
      <c r="K55" s="40"/>
      <c r="L55" s="40">
        <f t="shared" si="1"/>
        <v>0</v>
      </c>
      <c r="M55" s="42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>
      <c r="A56" s="39"/>
      <c r="B56" s="40"/>
      <c r="C56" s="40"/>
      <c r="D56" s="40"/>
      <c r="E56" s="40"/>
      <c r="F56" s="41"/>
      <c r="G56" s="40"/>
      <c r="H56" s="42"/>
      <c r="I56" s="40"/>
      <c r="J56" s="40"/>
      <c r="K56" s="40"/>
      <c r="L56" s="40">
        <f t="shared" si="1"/>
        <v>0</v>
      </c>
      <c r="M56" s="42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>
      <c r="A57" s="39"/>
      <c r="B57" s="40"/>
      <c r="C57" s="40"/>
      <c r="D57" s="40"/>
      <c r="E57" s="40"/>
      <c r="F57" s="41"/>
      <c r="G57" s="40"/>
      <c r="H57" s="42"/>
      <c r="I57" s="40"/>
      <c r="J57" s="40"/>
      <c r="K57" s="40"/>
      <c r="L57" s="40">
        <f t="shared" si="1"/>
        <v>0</v>
      </c>
      <c r="M57" s="42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>
      <c r="A58" s="39"/>
      <c r="B58" s="40"/>
      <c r="C58" s="40"/>
      <c r="D58" s="40"/>
      <c r="E58" s="40"/>
      <c r="F58" s="41"/>
      <c r="G58" s="40"/>
      <c r="H58" s="42"/>
      <c r="I58" s="40"/>
      <c r="J58" s="40"/>
      <c r="K58" s="40"/>
      <c r="L58" s="40">
        <f t="shared" si="1"/>
        <v>0</v>
      </c>
      <c r="M58" s="42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>
      <c r="A59" s="39"/>
      <c r="B59" s="40"/>
      <c r="C59" s="40"/>
      <c r="D59" s="40"/>
      <c r="E59" s="40"/>
      <c r="F59" s="41"/>
      <c r="G59" s="40"/>
      <c r="H59" s="42"/>
      <c r="I59" s="40"/>
      <c r="J59" s="40"/>
      <c r="K59" s="40"/>
      <c r="L59" s="40">
        <f t="shared" si="1"/>
        <v>0</v>
      </c>
      <c r="M59" s="42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>
      <c r="A60" s="39"/>
      <c r="B60" s="40"/>
      <c r="C60" s="40"/>
      <c r="D60" s="40"/>
      <c r="E60" s="40"/>
      <c r="F60" s="41"/>
      <c r="G60" s="40"/>
      <c r="H60" s="42"/>
      <c r="I60" s="40"/>
      <c r="J60" s="40"/>
      <c r="K60" s="40"/>
      <c r="L60" s="40">
        <f t="shared" si="1"/>
        <v>0</v>
      </c>
      <c r="M60" s="42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>
      <c r="A61" s="39"/>
      <c r="B61" s="40"/>
      <c r="C61" s="40"/>
      <c r="D61" s="40"/>
      <c r="E61" s="40"/>
      <c r="F61" s="41"/>
      <c r="G61" s="40"/>
      <c r="H61" s="42"/>
      <c r="I61" s="40"/>
      <c r="J61" s="40"/>
      <c r="K61" s="40"/>
      <c r="L61" s="40">
        <f t="shared" si="1"/>
        <v>0</v>
      </c>
      <c r="M61" s="42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>
      <c r="A62" s="39"/>
      <c r="B62" s="40"/>
      <c r="C62" s="40"/>
      <c r="D62" s="40"/>
      <c r="E62" s="40"/>
      <c r="F62" s="41"/>
      <c r="G62" s="40"/>
      <c r="H62" s="42"/>
      <c r="I62" s="40"/>
      <c r="J62" s="40"/>
      <c r="K62" s="40"/>
      <c r="L62" s="40">
        <f t="shared" si="1"/>
        <v>0</v>
      </c>
      <c r="M62" s="42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>
      <c r="A63" s="39"/>
      <c r="B63" s="40"/>
      <c r="C63" s="40"/>
      <c r="D63" s="40"/>
      <c r="E63" s="40"/>
      <c r="F63" s="41"/>
      <c r="G63" s="40"/>
      <c r="H63" s="42"/>
      <c r="I63" s="40"/>
      <c r="J63" s="40"/>
      <c r="K63" s="40"/>
      <c r="L63" s="40">
        <f t="shared" si="1"/>
        <v>0</v>
      </c>
      <c r="M63" s="42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>
      <c r="A64" s="39"/>
      <c r="B64" s="40"/>
      <c r="C64" s="40"/>
      <c r="D64" s="40"/>
      <c r="E64" s="40"/>
      <c r="F64" s="41"/>
      <c r="G64" s="40"/>
      <c r="H64" s="42"/>
      <c r="I64" s="40"/>
      <c r="J64" s="40"/>
      <c r="K64" s="40"/>
      <c r="L64" s="40">
        <f t="shared" si="1"/>
        <v>0</v>
      </c>
      <c r="M64" s="42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>
      <c r="A65" s="39"/>
      <c r="B65" s="40"/>
      <c r="C65" s="40"/>
      <c r="D65" s="40"/>
      <c r="E65" s="40"/>
      <c r="F65" s="41"/>
      <c r="G65" s="40"/>
      <c r="H65" s="42"/>
      <c r="I65" s="40"/>
      <c r="J65" s="40"/>
      <c r="K65" s="40"/>
      <c r="L65" s="40">
        <f t="shared" si="1"/>
        <v>0</v>
      </c>
      <c r="M65" s="42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>
      <c r="A66" s="39"/>
      <c r="B66" s="40"/>
      <c r="C66" s="40"/>
      <c r="D66" s="40"/>
      <c r="E66" s="40"/>
      <c r="F66" s="41"/>
      <c r="G66" s="40"/>
      <c r="H66" s="42"/>
      <c r="I66" s="40"/>
      <c r="J66" s="40"/>
      <c r="K66" s="40"/>
      <c r="L66" s="40">
        <f t="shared" si="1"/>
        <v>0</v>
      </c>
      <c r="M66" s="42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>
      <c r="A67" s="39"/>
      <c r="B67" s="40"/>
      <c r="C67" s="40"/>
      <c r="D67" s="40"/>
      <c r="E67" s="40"/>
      <c r="F67" s="41"/>
      <c r="G67" s="40"/>
      <c r="H67" s="42"/>
      <c r="I67" s="40"/>
      <c r="J67" s="40"/>
      <c r="K67" s="40"/>
      <c r="L67" s="40">
        <f t="shared" si="1"/>
        <v>0</v>
      </c>
      <c r="M67" s="42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>
      <c r="A68" s="39"/>
      <c r="B68" s="40"/>
      <c r="C68" s="40"/>
      <c r="D68" s="40"/>
      <c r="E68" s="40"/>
      <c r="F68" s="41"/>
      <c r="G68" s="40"/>
      <c r="H68" s="42"/>
      <c r="I68" s="40"/>
      <c r="J68" s="40"/>
      <c r="K68" s="40"/>
      <c r="L68" s="40">
        <f t="shared" si="1"/>
        <v>0</v>
      </c>
      <c r="M68" s="42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>
      <c r="A69" s="39"/>
      <c r="B69" s="40"/>
      <c r="C69" s="40"/>
      <c r="D69" s="40"/>
      <c r="E69" s="40"/>
      <c r="F69" s="41"/>
      <c r="G69" s="40"/>
      <c r="H69" s="42"/>
      <c r="I69" s="40"/>
      <c r="J69" s="40"/>
      <c r="K69" s="40"/>
      <c r="L69" s="40">
        <f t="shared" si="1"/>
        <v>0</v>
      </c>
      <c r="M69" s="42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>
      <c r="A70" s="39"/>
      <c r="B70" s="40"/>
      <c r="C70" s="40"/>
      <c r="D70" s="40"/>
      <c r="E70" s="40"/>
      <c r="F70" s="41"/>
      <c r="G70" s="41"/>
      <c r="H70" s="42"/>
      <c r="I70" s="41"/>
      <c r="J70" s="40"/>
      <c r="K70" s="40"/>
      <c r="L70" s="40">
        <f t="shared" si="1"/>
        <v>0</v>
      </c>
      <c r="M70" s="42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>
      <c r="A71" s="39"/>
      <c r="B71" s="40"/>
      <c r="C71" s="40"/>
      <c r="D71" s="40"/>
      <c r="E71" s="40"/>
      <c r="F71" s="41"/>
      <c r="G71" s="41"/>
      <c r="H71" s="42"/>
      <c r="I71" s="41"/>
      <c r="J71" s="40"/>
      <c r="K71" s="40"/>
      <c r="L71" s="40">
        <f t="shared" si="1"/>
        <v>0</v>
      </c>
      <c r="M71" s="42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>
      <c r="A72" s="43"/>
      <c r="B72" s="41"/>
      <c r="C72" s="41"/>
      <c r="D72" s="41"/>
      <c r="E72" s="41"/>
      <c r="F72" s="41"/>
      <c r="G72" s="41"/>
      <c r="H72" s="42"/>
      <c r="I72" s="41"/>
      <c r="J72" s="41"/>
      <c r="K72" s="41"/>
      <c r="L72" s="41">
        <f t="shared" si="1"/>
        <v>0</v>
      </c>
      <c r="M72" s="42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>
      <c r="A73" s="43"/>
      <c r="B73" s="41"/>
      <c r="C73" s="41"/>
      <c r="D73" s="41"/>
      <c r="E73" s="41"/>
      <c r="F73" s="41"/>
      <c r="G73" s="41"/>
      <c r="H73" s="42"/>
      <c r="I73" s="41"/>
      <c r="J73" s="41"/>
      <c r="K73" s="41"/>
      <c r="L73" s="41">
        <f t="shared" si="1"/>
        <v>0</v>
      </c>
      <c r="M73" s="42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>
      <c r="A74" s="43"/>
      <c r="B74" s="41"/>
      <c r="C74" s="41"/>
      <c r="D74" s="41"/>
      <c r="E74" s="41"/>
      <c r="F74" s="41"/>
      <c r="G74" s="41"/>
      <c r="H74" s="42"/>
      <c r="I74" s="41"/>
      <c r="J74" s="41"/>
      <c r="K74" s="41"/>
      <c r="L74" s="41">
        <f t="shared" si="1"/>
        <v>0</v>
      </c>
      <c r="M74" s="42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>
      <c r="A75" s="43"/>
      <c r="B75" s="41"/>
      <c r="C75" s="41"/>
      <c r="D75" s="41"/>
      <c r="E75" s="41"/>
      <c r="F75" s="41"/>
      <c r="G75" s="41"/>
      <c r="H75" s="42"/>
      <c r="I75" s="41"/>
      <c r="J75" s="41"/>
      <c r="K75" s="41"/>
      <c r="L75" s="41">
        <f t="shared" si="1"/>
        <v>0</v>
      </c>
      <c r="M75" s="42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>
      <c r="A76" s="43"/>
      <c r="B76" s="41"/>
      <c r="C76" s="41"/>
      <c r="D76" s="41"/>
      <c r="E76" s="41"/>
      <c r="F76" s="41"/>
      <c r="G76" s="41"/>
      <c r="H76" s="42"/>
      <c r="I76" s="41"/>
      <c r="J76" s="41"/>
      <c r="K76" s="41"/>
      <c r="L76" s="41">
        <f t="shared" si="1"/>
        <v>0</v>
      </c>
      <c r="M76" s="42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>
      <c r="A77" s="43"/>
      <c r="B77" s="41"/>
      <c r="C77" s="41"/>
      <c r="D77" s="41"/>
      <c r="E77" s="41"/>
      <c r="F77" s="41"/>
      <c r="G77" s="41"/>
      <c r="H77" s="42"/>
      <c r="I77" s="41"/>
      <c r="J77" s="41"/>
      <c r="K77" s="41"/>
      <c r="L77" s="41">
        <f t="shared" si="1"/>
        <v>0</v>
      </c>
      <c r="M77" s="42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>
      <c r="A78" s="43"/>
      <c r="B78" s="41"/>
      <c r="C78" s="41"/>
      <c r="D78" s="41"/>
      <c r="E78" s="41"/>
      <c r="F78" s="41"/>
      <c r="G78" s="41"/>
      <c r="H78" s="42"/>
      <c r="I78" s="41"/>
      <c r="J78" s="41"/>
      <c r="K78" s="41"/>
      <c r="L78" s="41">
        <f t="shared" si="1"/>
        <v>0</v>
      </c>
      <c r="M78" s="42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>
      <c r="A79" s="43"/>
      <c r="B79" s="41"/>
      <c r="C79" s="41"/>
      <c r="D79" s="41"/>
      <c r="E79" s="41"/>
      <c r="F79" s="41"/>
      <c r="G79" s="41"/>
      <c r="H79" s="42"/>
      <c r="I79" s="41"/>
      <c r="J79" s="41"/>
      <c r="K79" s="41"/>
      <c r="L79" s="41">
        <f t="shared" si="1"/>
        <v>0</v>
      </c>
      <c r="M79" s="42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>
      <c r="A80" s="43"/>
      <c r="B80" s="41"/>
      <c r="C80" s="41"/>
      <c r="D80" s="41"/>
      <c r="E80" s="41"/>
      <c r="F80" s="41"/>
      <c r="G80" s="41"/>
      <c r="H80" s="42"/>
      <c r="I80" s="41"/>
      <c r="J80" s="41"/>
      <c r="K80" s="41"/>
      <c r="L80" s="41">
        <f t="shared" si="1"/>
        <v>0</v>
      </c>
      <c r="M80" s="42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>
      <c r="A81" s="43"/>
      <c r="B81" s="41"/>
      <c r="C81" s="41"/>
      <c r="D81" s="41"/>
      <c r="E81" s="41"/>
      <c r="F81" s="41"/>
      <c r="G81" s="41"/>
      <c r="H81" s="42"/>
      <c r="I81" s="41"/>
      <c r="J81" s="41"/>
      <c r="K81" s="41"/>
      <c r="L81" s="41">
        <f t="shared" si="1"/>
        <v>0</v>
      </c>
      <c r="M81" s="42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>
      <c r="A82" s="43"/>
      <c r="B82" s="41"/>
      <c r="C82" s="41"/>
      <c r="D82" s="41"/>
      <c r="E82" s="41"/>
      <c r="F82" s="41"/>
      <c r="G82" s="41"/>
      <c r="H82" s="42"/>
      <c r="I82" s="41"/>
      <c r="J82" s="41"/>
      <c r="K82" s="41"/>
      <c r="L82" s="41">
        <f t="shared" si="1"/>
        <v>0</v>
      </c>
      <c r="M82" s="42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>
      <c r="A83" s="43"/>
      <c r="B83" s="41"/>
      <c r="C83" s="41"/>
      <c r="D83" s="41"/>
      <c r="E83" s="41"/>
      <c r="F83" s="41"/>
      <c r="G83" s="41"/>
      <c r="H83" s="42"/>
      <c r="I83" s="41"/>
      <c r="J83" s="41"/>
      <c r="K83" s="41"/>
      <c r="L83" s="41">
        <f t="shared" si="1"/>
        <v>0</v>
      </c>
      <c r="M83" s="42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>
      <c r="A84" s="43"/>
      <c r="B84" s="41"/>
      <c r="C84" s="41"/>
      <c r="D84" s="41"/>
      <c r="E84" s="41"/>
      <c r="F84" s="41"/>
      <c r="G84" s="41"/>
      <c r="H84" s="42"/>
      <c r="I84" s="41"/>
      <c r="J84" s="41"/>
      <c r="K84" s="41"/>
      <c r="L84" s="41">
        <f t="shared" si="1"/>
        <v>0</v>
      </c>
      <c r="M84" s="42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>
      <c r="A85" s="43"/>
      <c r="B85" s="41"/>
      <c r="C85" s="41"/>
      <c r="D85" s="41"/>
      <c r="E85" s="41"/>
      <c r="F85" s="41"/>
      <c r="G85" s="41"/>
      <c r="H85" s="42"/>
      <c r="I85" s="41"/>
      <c r="J85" s="41"/>
      <c r="K85" s="41"/>
      <c r="L85" s="41">
        <f t="shared" si="1"/>
        <v>0</v>
      </c>
      <c r="M85" s="42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>
      <c r="A86" s="43"/>
      <c r="B86" s="41"/>
      <c r="C86" s="41"/>
      <c r="D86" s="41"/>
      <c r="E86" s="41"/>
      <c r="F86" s="41"/>
      <c r="G86" s="41"/>
      <c r="H86" s="42"/>
      <c r="I86" s="41"/>
      <c r="J86" s="41"/>
      <c r="K86" s="41"/>
      <c r="L86" s="41">
        <f t="shared" si="1"/>
        <v>0</v>
      </c>
      <c r="M86" s="42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>
      <c r="A87" s="43"/>
      <c r="B87" s="41"/>
      <c r="C87" s="41"/>
      <c r="D87" s="41"/>
      <c r="E87" s="41"/>
      <c r="F87" s="41"/>
      <c r="G87" s="41"/>
      <c r="H87" s="42"/>
      <c r="I87" s="41"/>
      <c r="J87" s="41"/>
      <c r="K87" s="41"/>
      <c r="L87" s="41">
        <f t="shared" si="1"/>
        <v>0</v>
      </c>
      <c r="M87" s="42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>
      <c r="A88" s="43"/>
      <c r="B88" s="41"/>
      <c r="C88" s="41"/>
      <c r="D88" s="41"/>
      <c r="E88" s="41"/>
      <c r="F88" s="41"/>
      <c r="G88" s="41"/>
      <c r="H88" s="42"/>
      <c r="I88" s="41"/>
      <c r="J88" s="41"/>
      <c r="K88" s="41"/>
      <c r="L88" s="41">
        <f t="shared" si="1"/>
        <v>0</v>
      </c>
      <c r="M88" s="42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>
      <c r="A89" s="43"/>
      <c r="B89" s="41"/>
      <c r="C89" s="41"/>
      <c r="D89" s="41"/>
      <c r="E89" s="41"/>
      <c r="F89" s="41"/>
      <c r="G89" s="41"/>
      <c r="H89" s="42"/>
      <c r="I89" s="41"/>
      <c r="J89" s="41"/>
      <c r="K89" s="41"/>
      <c r="L89" s="41">
        <f t="shared" si="1"/>
        <v>0</v>
      </c>
      <c r="M89" s="42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>
      <c r="A90" s="43"/>
      <c r="B90" s="41"/>
      <c r="C90" s="41"/>
      <c r="D90" s="41"/>
      <c r="E90" s="41"/>
      <c r="F90" s="41"/>
      <c r="G90" s="41"/>
      <c r="H90" s="42"/>
      <c r="I90" s="41"/>
      <c r="J90" s="41"/>
      <c r="K90" s="41"/>
      <c r="L90" s="41">
        <f t="shared" si="1"/>
        <v>0</v>
      </c>
      <c r="M90" s="42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>
      <c r="A91" s="43"/>
      <c r="B91" s="41"/>
      <c r="C91" s="41"/>
      <c r="D91" s="41"/>
      <c r="E91" s="41"/>
      <c r="F91" s="41"/>
      <c r="G91" s="41"/>
      <c r="H91" s="42"/>
      <c r="I91" s="41"/>
      <c r="J91" s="41"/>
      <c r="K91" s="41"/>
      <c r="L91" s="41">
        <f t="shared" si="1"/>
        <v>0</v>
      </c>
      <c r="M91" s="42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>
      <c r="A92" s="43"/>
      <c r="B92" s="41"/>
      <c r="C92" s="41"/>
      <c r="D92" s="41"/>
      <c r="E92" s="41"/>
      <c r="F92" s="41"/>
      <c r="G92" s="41"/>
      <c r="H92" s="42"/>
      <c r="I92" s="41"/>
      <c r="J92" s="41"/>
      <c r="K92" s="41"/>
      <c r="L92" s="41">
        <f t="shared" si="1"/>
        <v>0</v>
      </c>
      <c r="M92" s="42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>
      <c r="A93" s="43"/>
      <c r="B93" s="41"/>
      <c r="C93" s="41"/>
      <c r="D93" s="41"/>
      <c r="E93" s="41"/>
      <c r="F93" s="41"/>
      <c r="G93" s="41"/>
      <c r="H93" s="42"/>
      <c r="I93" s="41"/>
      <c r="J93" s="41"/>
      <c r="K93" s="41"/>
      <c r="L93" s="41">
        <f t="shared" si="1"/>
        <v>0</v>
      </c>
      <c r="M93" s="42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>
      <c r="A94" s="43"/>
      <c r="B94" s="41"/>
      <c r="C94" s="41"/>
      <c r="D94" s="41"/>
      <c r="E94" s="41"/>
      <c r="F94" s="41"/>
      <c r="G94" s="41"/>
      <c r="H94" s="42"/>
      <c r="I94" s="41"/>
      <c r="J94" s="41"/>
      <c r="K94" s="41"/>
      <c r="L94" s="41">
        <f t="shared" si="1"/>
        <v>0</v>
      </c>
      <c r="M94" s="42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>
      <c r="A95" s="43"/>
      <c r="B95" s="41"/>
      <c r="C95" s="41"/>
      <c r="D95" s="41"/>
      <c r="E95" s="41"/>
      <c r="F95" s="41"/>
      <c r="G95" s="41"/>
      <c r="H95" s="42"/>
      <c r="I95" s="41"/>
      <c r="J95" s="41"/>
      <c r="K95" s="41"/>
      <c r="L95" s="41">
        <f t="shared" si="1"/>
        <v>0</v>
      </c>
      <c r="M95" s="42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>
      <c r="A96" s="43"/>
      <c r="B96" s="41"/>
      <c r="C96" s="41"/>
      <c r="D96" s="41"/>
      <c r="E96" s="41"/>
      <c r="F96" s="41"/>
      <c r="G96" s="41"/>
      <c r="H96" s="42"/>
      <c r="I96" s="41"/>
      <c r="J96" s="41"/>
      <c r="K96" s="41"/>
      <c r="L96" s="41">
        <f t="shared" si="1"/>
        <v>0</v>
      </c>
      <c r="M96" s="42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>
      <c r="A97" s="43"/>
      <c r="B97" s="41"/>
      <c r="C97" s="41"/>
      <c r="D97" s="41"/>
      <c r="E97" s="41"/>
      <c r="F97" s="41"/>
      <c r="G97" s="41"/>
      <c r="H97" s="42"/>
      <c r="I97" s="41"/>
      <c r="J97" s="41"/>
      <c r="K97" s="41"/>
      <c r="L97" s="41">
        <f t="shared" si="1"/>
        <v>0</v>
      </c>
      <c r="M97" s="42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>
      <c r="A98" s="43"/>
      <c r="B98" s="41"/>
      <c r="C98" s="41"/>
      <c r="D98" s="41"/>
      <c r="E98" s="41"/>
      <c r="F98" s="41"/>
      <c r="G98" s="41"/>
      <c r="H98" s="42"/>
      <c r="I98" s="41"/>
      <c r="J98" s="41"/>
      <c r="K98" s="41"/>
      <c r="L98" s="41">
        <f t="shared" si="1"/>
        <v>0</v>
      </c>
      <c r="M98" s="42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>
      <c r="A99" s="43"/>
      <c r="B99" s="41"/>
      <c r="C99" s="41"/>
      <c r="D99" s="41"/>
      <c r="E99" s="41"/>
      <c r="F99" s="41"/>
      <c r="G99" s="41"/>
      <c r="H99" s="42"/>
      <c r="I99" s="41"/>
      <c r="J99" s="41"/>
      <c r="K99" s="41"/>
      <c r="L99" s="41">
        <f t="shared" si="1"/>
        <v>0</v>
      </c>
      <c r="M99" s="42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>
      <c r="A100" s="43"/>
      <c r="B100" s="41"/>
      <c r="C100" s="41"/>
      <c r="D100" s="41"/>
      <c r="E100" s="41"/>
      <c r="F100" s="41"/>
      <c r="G100" s="41"/>
      <c r="H100" s="42"/>
      <c r="I100" s="41"/>
      <c r="J100" s="41"/>
      <c r="K100" s="41"/>
      <c r="L100" s="41">
        <f t="shared" si="1"/>
        <v>0</v>
      </c>
      <c r="M100" s="42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>
      <c r="A101" s="43"/>
      <c r="B101" s="41"/>
      <c r="C101" s="41"/>
      <c r="D101" s="41"/>
      <c r="E101" s="41"/>
      <c r="F101" s="41"/>
      <c r="G101" s="41"/>
      <c r="H101" s="42"/>
      <c r="I101" s="41"/>
      <c r="J101" s="41"/>
      <c r="K101" s="41"/>
      <c r="L101" s="41">
        <f t="shared" si="1"/>
        <v>0</v>
      </c>
      <c r="M101" s="42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>
      <c r="A102" s="43"/>
      <c r="B102" s="41"/>
      <c r="C102" s="41"/>
      <c r="D102" s="41"/>
      <c r="E102" s="41"/>
      <c r="F102" s="41"/>
      <c r="G102" s="41"/>
      <c r="H102" s="42"/>
      <c r="I102" s="41"/>
      <c r="J102" s="41"/>
      <c r="K102" s="41"/>
      <c r="L102" s="41">
        <f t="shared" si="1"/>
        <v>0</v>
      </c>
      <c r="M102" s="42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>
      <c r="A103" s="43"/>
      <c r="B103" s="41"/>
      <c r="C103" s="41"/>
      <c r="D103" s="41"/>
      <c r="E103" s="41"/>
      <c r="F103" s="41"/>
      <c r="G103" s="41"/>
      <c r="H103" s="42"/>
      <c r="I103" s="41"/>
      <c r="J103" s="41"/>
      <c r="K103" s="41"/>
      <c r="L103" s="41">
        <f t="shared" si="1"/>
        <v>0</v>
      </c>
      <c r="M103" s="42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>
      <c r="A104" s="43"/>
      <c r="B104" s="41"/>
      <c r="C104" s="41"/>
      <c r="D104" s="41"/>
      <c r="E104" s="41"/>
      <c r="F104" s="41"/>
      <c r="G104" s="41"/>
      <c r="H104" s="42"/>
      <c r="I104" s="41"/>
      <c r="J104" s="41"/>
      <c r="K104" s="41"/>
      <c r="L104" s="41">
        <f t="shared" si="1"/>
        <v>0</v>
      </c>
      <c r="M104" s="42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>
      <c r="A105" s="43"/>
      <c r="B105" s="41"/>
      <c r="C105" s="41"/>
      <c r="D105" s="41"/>
      <c r="E105" s="41"/>
      <c r="F105" s="41"/>
      <c r="G105" s="41"/>
      <c r="H105" s="42"/>
      <c r="I105" s="41"/>
      <c r="J105" s="41"/>
      <c r="K105" s="41"/>
      <c r="L105" s="41">
        <f t="shared" si="1"/>
        <v>0</v>
      </c>
      <c r="M105" s="42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>
      <c r="A106" s="43"/>
      <c r="B106" s="41"/>
      <c r="C106" s="41"/>
      <c r="D106" s="41"/>
      <c r="E106" s="41"/>
      <c r="F106" s="41"/>
      <c r="G106" s="41"/>
      <c r="H106" s="42"/>
      <c r="I106" s="41"/>
      <c r="J106" s="41"/>
      <c r="K106" s="41"/>
      <c r="L106" s="41">
        <f t="shared" si="1"/>
        <v>0</v>
      </c>
      <c r="M106" s="42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>
      <c r="A107" s="43"/>
      <c r="B107" s="41"/>
      <c r="C107" s="41"/>
      <c r="D107" s="41"/>
      <c r="E107" s="41"/>
      <c r="F107" s="41"/>
      <c r="G107" s="41"/>
      <c r="H107" s="42"/>
      <c r="I107" s="41"/>
      <c r="J107" s="41"/>
      <c r="K107" s="41"/>
      <c r="L107" s="41">
        <f t="shared" si="1"/>
        <v>0</v>
      </c>
      <c r="M107" s="42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>
      <c r="A108" s="43"/>
      <c r="B108" s="41"/>
      <c r="C108" s="41"/>
      <c r="D108" s="41"/>
      <c r="E108" s="41"/>
      <c r="F108" s="41"/>
      <c r="G108" s="41"/>
      <c r="H108" s="42"/>
      <c r="I108" s="41"/>
      <c r="J108" s="41"/>
      <c r="K108" s="41"/>
      <c r="L108" s="41">
        <f t="shared" si="1"/>
        <v>0</v>
      </c>
      <c r="M108" s="42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>
      <c r="A109" s="43"/>
      <c r="B109" s="41"/>
      <c r="C109" s="41"/>
      <c r="D109" s="41"/>
      <c r="E109" s="41"/>
      <c r="F109" s="41"/>
      <c r="G109" s="41"/>
      <c r="H109" s="42"/>
      <c r="I109" s="41"/>
      <c r="J109" s="41"/>
      <c r="K109" s="41"/>
      <c r="L109" s="41">
        <f t="shared" si="1"/>
        <v>0</v>
      </c>
      <c r="M109" s="42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>
      <c r="A110" s="43"/>
      <c r="B110" s="41"/>
      <c r="C110" s="41"/>
      <c r="D110" s="41"/>
      <c r="E110" s="41"/>
      <c r="F110" s="41"/>
      <c r="G110" s="41"/>
      <c r="H110" s="42"/>
      <c r="I110" s="41"/>
      <c r="J110" s="41"/>
      <c r="K110" s="41"/>
      <c r="L110" s="41">
        <f t="shared" si="1"/>
        <v>0</v>
      </c>
      <c r="M110" s="42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>
      <c r="A111" s="43"/>
      <c r="B111" s="41"/>
      <c r="C111" s="41"/>
      <c r="D111" s="41"/>
      <c r="E111" s="41"/>
      <c r="F111" s="41"/>
      <c r="G111" s="41"/>
      <c r="H111" s="42"/>
      <c r="I111" s="41"/>
      <c r="J111" s="41"/>
      <c r="K111" s="41"/>
      <c r="L111" s="41">
        <f t="shared" si="1"/>
        <v>0</v>
      </c>
      <c r="M111" s="42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>
      <c r="A112" s="43"/>
      <c r="B112" s="41"/>
      <c r="C112" s="41"/>
      <c r="D112" s="41"/>
      <c r="E112" s="41"/>
      <c r="F112" s="41"/>
      <c r="G112" s="41"/>
      <c r="H112" s="42"/>
      <c r="I112" s="41"/>
      <c r="J112" s="41"/>
      <c r="K112" s="41"/>
      <c r="L112" s="41">
        <f t="shared" si="1"/>
        <v>0</v>
      </c>
      <c r="M112" s="42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>
      <c r="A113" s="43"/>
      <c r="B113" s="41"/>
      <c r="C113" s="41"/>
      <c r="D113" s="41"/>
      <c r="E113" s="41"/>
      <c r="F113" s="41"/>
      <c r="G113" s="41"/>
      <c r="H113" s="42"/>
      <c r="I113" s="41"/>
      <c r="J113" s="41"/>
      <c r="K113" s="41"/>
      <c r="L113" s="41">
        <f t="shared" si="1"/>
        <v>0</v>
      </c>
      <c r="M113" s="42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>
      <c r="A114" s="43"/>
      <c r="B114" s="41"/>
      <c r="C114" s="41"/>
      <c r="D114" s="41"/>
      <c r="E114" s="41"/>
      <c r="F114" s="41"/>
      <c r="G114" s="41"/>
      <c r="H114" s="42"/>
      <c r="I114" s="41"/>
      <c r="J114" s="41"/>
      <c r="K114" s="41"/>
      <c r="L114" s="41">
        <f t="shared" si="1"/>
        <v>0</v>
      </c>
      <c r="M114" s="42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>
      <c r="A115" s="43"/>
      <c r="B115" s="41"/>
      <c r="C115" s="41"/>
      <c r="D115" s="41"/>
      <c r="E115" s="41"/>
      <c r="F115" s="41"/>
      <c r="G115" s="41"/>
      <c r="H115" s="42"/>
      <c r="I115" s="41"/>
      <c r="J115" s="41"/>
      <c r="K115" s="41"/>
      <c r="L115" s="41">
        <f t="shared" si="1"/>
        <v>0</v>
      </c>
      <c r="M115" s="42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>
      <c r="A116" s="43"/>
      <c r="B116" s="41"/>
      <c r="C116" s="41"/>
      <c r="D116" s="41"/>
      <c r="E116" s="41"/>
      <c r="F116" s="41"/>
      <c r="G116" s="41"/>
      <c r="H116" s="42"/>
      <c r="I116" s="41"/>
      <c r="J116" s="41"/>
      <c r="K116" s="41"/>
      <c r="L116" s="41">
        <f t="shared" si="1"/>
        <v>0</v>
      </c>
      <c r="M116" s="42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>
      <c r="A117" s="43"/>
      <c r="B117" s="41"/>
      <c r="C117" s="41"/>
      <c r="D117" s="41"/>
      <c r="E117" s="41"/>
      <c r="F117" s="41"/>
      <c r="G117" s="41"/>
      <c r="H117" s="42"/>
      <c r="I117" s="41"/>
      <c r="J117" s="41"/>
      <c r="K117" s="41"/>
      <c r="L117" s="41">
        <f t="shared" si="1"/>
        <v>0</v>
      </c>
      <c r="M117" s="42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>
      <c r="A118" s="43"/>
      <c r="B118" s="41"/>
      <c r="C118" s="41"/>
      <c r="D118" s="41"/>
      <c r="E118" s="41"/>
      <c r="F118" s="41"/>
      <c r="G118" s="41"/>
      <c r="H118" s="42"/>
      <c r="I118" s="41"/>
      <c r="J118" s="41"/>
      <c r="K118" s="41"/>
      <c r="L118" s="41">
        <f t="shared" si="1"/>
        <v>0</v>
      </c>
      <c r="M118" s="42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>
      <c r="A119" s="43"/>
      <c r="B119" s="41"/>
      <c r="C119" s="41"/>
      <c r="D119" s="41"/>
      <c r="E119" s="41"/>
      <c r="F119" s="41"/>
      <c r="G119" s="41"/>
      <c r="H119" s="42"/>
      <c r="I119" s="41"/>
      <c r="J119" s="41"/>
      <c r="K119" s="41"/>
      <c r="L119" s="41">
        <f t="shared" si="1"/>
        <v>0</v>
      </c>
      <c r="M119" s="42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>
      <c r="A120" s="43"/>
      <c r="B120" s="41"/>
      <c r="C120" s="41"/>
      <c r="D120" s="41"/>
      <c r="E120" s="41"/>
      <c r="F120" s="41"/>
      <c r="G120" s="41"/>
      <c r="H120" s="42"/>
      <c r="I120" s="41"/>
      <c r="J120" s="41"/>
      <c r="K120" s="41"/>
      <c r="L120" s="41">
        <f t="shared" si="1"/>
        <v>0</v>
      </c>
      <c r="M120" s="42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>
      <c r="A121" s="43"/>
      <c r="B121" s="41"/>
      <c r="C121" s="41"/>
      <c r="D121" s="41"/>
      <c r="E121" s="41"/>
      <c r="F121" s="41"/>
      <c r="G121" s="41"/>
      <c r="H121" s="42"/>
      <c r="I121" s="41"/>
      <c r="J121" s="41"/>
      <c r="K121" s="41"/>
      <c r="L121" s="41">
        <f t="shared" si="1"/>
        <v>0</v>
      </c>
      <c r="M121" s="42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>
      <c r="A122" s="43"/>
      <c r="B122" s="41"/>
      <c r="C122" s="41"/>
      <c r="D122" s="41"/>
      <c r="E122" s="41"/>
      <c r="F122" s="41"/>
      <c r="G122" s="41"/>
      <c r="H122" s="42"/>
      <c r="I122" s="41"/>
      <c r="J122" s="41"/>
      <c r="K122" s="41"/>
      <c r="L122" s="41">
        <f t="shared" si="1"/>
        <v>0</v>
      </c>
      <c r="M122" s="42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>
      <c r="A123" s="43"/>
      <c r="B123" s="41"/>
      <c r="C123" s="41"/>
      <c r="D123" s="41"/>
      <c r="E123" s="41"/>
      <c r="F123" s="41"/>
      <c r="G123" s="41"/>
      <c r="H123" s="42"/>
      <c r="I123" s="41"/>
      <c r="J123" s="41"/>
      <c r="K123" s="41"/>
      <c r="L123" s="41">
        <f t="shared" si="1"/>
        <v>0</v>
      </c>
      <c r="M123" s="42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>
      <c r="A124" s="43"/>
      <c r="B124" s="41"/>
      <c r="C124" s="41"/>
      <c r="D124" s="41"/>
      <c r="E124" s="41"/>
      <c r="F124" s="41"/>
      <c r="G124" s="41"/>
      <c r="H124" s="42"/>
      <c r="I124" s="41"/>
      <c r="J124" s="41"/>
      <c r="K124" s="41"/>
      <c r="L124" s="41">
        <f t="shared" si="1"/>
        <v>0</v>
      </c>
      <c r="M124" s="42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>
      <c r="A125" s="43"/>
      <c r="B125" s="41"/>
      <c r="C125" s="41"/>
      <c r="D125" s="41"/>
      <c r="E125" s="41"/>
      <c r="F125" s="41"/>
      <c r="G125" s="41"/>
      <c r="H125" s="42"/>
      <c r="I125" s="41"/>
      <c r="J125" s="41"/>
      <c r="K125" s="41"/>
      <c r="L125" s="41">
        <f t="shared" si="1"/>
        <v>0</v>
      </c>
      <c r="M125" s="42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>
      <c r="A126" s="43"/>
      <c r="B126" s="41"/>
      <c r="C126" s="41"/>
      <c r="D126" s="41"/>
      <c r="E126" s="41"/>
      <c r="F126" s="41"/>
      <c r="G126" s="41"/>
      <c r="H126" s="42"/>
      <c r="I126" s="41"/>
      <c r="J126" s="41"/>
      <c r="K126" s="41"/>
      <c r="L126" s="41">
        <f t="shared" si="1"/>
        <v>0</v>
      </c>
      <c r="M126" s="42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>
      <c r="A127" s="43"/>
      <c r="B127" s="41"/>
      <c r="C127" s="41"/>
      <c r="D127" s="41"/>
      <c r="E127" s="41"/>
      <c r="F127" s="41"/>
      <c r="G127" s="41"/>
      <c r="H127" s="42"/>
      <c r="I127" s="41"/>
      <c r="J127" s="41"/>
      <c r="K127" s="41"/>
      <c r="L127" s="41">
        <f t="shared" si="1"/>
        <v>0</v>
      </c>
      <c r="M127" s="42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>
      <c r="A128" s="43"/>
      <c r="B128" s="41"/>
      <c r="C128" s="41"/>
      <c r="D128" s="41"/>
      <c r="E128" s="41"/>
      <c r="F128" s="41"/>
      <c r="G128" s="41"/>
      <c r="H128" s="42"/>
      <c r="I128" s="41"/>
      <c r="J128" s="41"/>
      <c r="K128" s="41"/>
      <c r="L128" s="41">
        <f t="shared" si="1"/>
        <v>0</v>
      </c>
      <c r="M128" s="42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>
      <c r="A129" s="43"/>
      <c r="B129" s="41"/>
      <c r="C129" s="41"/>
      <c r="D129" s="41"/>
      <c r="E129" s="41"/>
      <c r="F129" s="41"/>
      <c r="G129" s="41"/>
      <c r="H129" s="42"/>
      <c r="I129" s="41"/>
      <c r="J129" s="41"/>
      <c r="K129" s="41"/>
      <c r="L129" s="41">
        <f t="shared" si="1"/>
        <v>0</v>
      </c>
      <c r="M129" s="42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>
      <c r="A130" s="43"/>
      <c r="B130" s="41"/>
      <c r="C130" s="41"/>
      <c r="D130" s="41"/>
      <c r="E130" s="41"/>
      <c r="F130" s="41"/>
      <c r="G130" s="41"/>
      <c r="H130" s="42"/>
      <c r="I130" s="41"/>
      <c r="J130" s="41"/>
      <c r="K130" s="41"/>
      <c r="L130" s="41">
        <f t="shared" si="1"/>
        <v>0</v>
      </c>
      <c r="M130" s="42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>
      <c r="A131" s="43"/>
      <c r="B131" s="41"/>
      <c r="C131" s="41"/>
      <c r="D131" s="41"/>
      <c r="E131" s="41"/>
      <c r="F131" s="41"/>
      <c r="G131" s="41"/>
      <c r="H131" s="42"/>
      <c r="I131" s="41"/>
      <c r="J131" s="41"/>
      <c r="K131" s="41"/>
      <c r="L131" s="41">
        <f t="shared" si="1"/>
        <v>0</v>
      </c>
      <c r="M131" s="42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>
      <c r="A132" s="43"/>
      <c r="B132" s="41"/>
      <c r="C132" s="41"/>
      <c r="D132" s="41"/>
      <c r="E132" s="41"/>
      <c r="F132" s="41"/>
      <c r="G132" s="41"/>
      <c r="H132" s="42"/>
      <c r="I132" s="41"/>
      <c r="J132" s="41"/>
      <c r="K132" s="41"/>
      <c r="L132" s="41">
        <f t="shared" si="1"/>
        <v>0</v>
      </c>
      <c r="M132" s="42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>
      <c r="A133" s="43"/>
      <c r="B133" s="41"/>
      <c r="C133" s="41"/>
      <c r="D133" s="41"/>
      <c r="E133" s="41"/>
      <c r="F133" s="41"/>
      <c r="G133" s="41"/>
      <c r="H133" s="42"/>
      <c r="I133" s="41"/>
      <c r="J133" s="41"/>
      <c r="K133" s="41"/>
      <c r="L133" s="41">
        <f t="shared" si="1"/>
        <v>0</v>
      </c>
      <c r="M133" s="42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>
      <c r="A134" s="43"/>
      <c r="B134" s="41"/>
      <c r="C134" s="41"/>
      <c r="D134" s="41"/>
      <c r="E134" s="41"/>
      <c r="F134" s="41"/>
      <c r="G134" s="41"/>
      <c r="H134" s="42"/>
      <c r="I134" s="41"/>
      <c r="J134" s="41"/>
      <c r="K134" s="41"/>
      <c r="L134" s="41">
        <f t="shared" si="1"/>
        <v>0</v>
      </c>
      <c r="M134" s="42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>
      <c r="A135" s="43"/>
      <c r="B135" s="41"/>
      <c r="C135" s="41"/>
      <c r="D135" s="41"/>
      <c r="E135" s="41"/>
      <c r="F135" s="41"/>
      <c r="G135" s="41"/>
      <c r="H135" s="42"/>
      <c r="I135" s="41"/>
      <c r="J135" s="41"/>
      <c r="K135" s="41"/>
      <c r="L135" s="41">
        <f t="shared" si="1"/>
        <v>0</v>
      </c>
      <c r="M135" s="42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>
      <c r="A136" s="43"/>
      <c r="B136" s="41"/>
      <c r="C136" s="41"/>
      <c r="D136" s="41"/>
      <c r="E136" s="41"/>
      <c r="F136" s="41"/>
      <c r="G136" s="41"/>
      <c r="H136" s="42"/>
      <c r="I136" s="41"/>
      <c r="J136" s="41"/>
      <c r="K136" s="41"/>
      <c r="L136" s="41">
        <f t="shared" si="1"/>
        <v>0</v>
      </c>
      <c r="M136" s="42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>
      <c r="A137" s="43"/>
      <c r="B137" s="41"/>
      <c r="C137" s="41"/>
      <c r="D137" s="41"/>
      <c r="E137" s="41"/>
      <c r="F137" s="41"/>
      <c r="G137" s="41"/>
      <c r="H137" s="42"/>
      <c r="I137" s="41"/>
      <c r="J137" s="41"/>
      <c r="K137" s="41"/>
      <c r="L137" s="41">
        <f t="shared" si="1"/>
        <v>0</v>
      </c>
      <c r="M137" s="42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>
      <c r="A138" s="43"/>
      <c r="B138" s="41"/>
      <c r="C138" s="41"/>
      <c r="D138" s="41"/>
      <c r="E138" s="41"/>
      <c r="F138" s="41"/>
      <c r="G138" s="41"/>
      <c r="H138" s="42"/>
      <c r="I138" s="41"/>
      <c r="J138" s="41"/>
      <c r="K138" s="41"/>
      <c r="L138" s="41">
        <f t="shared" si="1"/>
        <v>0</v>
      </c>
      <c r="M138" s="42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>
      <c r="A139" s="43"/>
      <c r="B139" s="41"/>
      <c r="C139" s="41"/>
      <c r="D139" s="41"/>
      <c r="E139" s="41"/>
      <c r="F139" s="41"/>
      <c r="G139" s="41"/>
      <c r="H139" s="42"/>
      <c r="I139" s="41"/>
      <c r="J139" s="41"/>
      <c r="K139" s="41"/>
      <c r="L139" s="41">
        <f t="shared" si="1"/>
        <v>0</v>
      </c>
      <c r="M139" s="42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>
      <c r="A140" s="43"/>
      <c r="B140" s="41"/>
      <c r="C140" s="41"/>
      <c r="D140" s="41"/>
      <c r="E140" s="41"/>
      <c r="F140" s="41"/>
      <c r="G140" s="41"/>
      <c r="H140" s="42"/>
      <c r="I140" s="41"/>
      <c r="J140" s="41"/>
      <c r="K140" s="41"/>
      <c r="L140" s="41">
        <f t="shared" si="1"/>
        <v>0</v>
      </c>
      <c r="M140" s="42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>
      <c r="A141" s="43"/>
      <c r="B141" s="41"/>
      <c r="C141" s="41"/>
      <c r="D141" s="41"/>
      <c r="E141" s="41"/>
      <c r="F141" s="41"/>
      <c r="G141" s="41"/>
      <c r="H141" s="42"/>
      <c r="I141" s="41"/>
      <c r="J141" s="41"/>
      <c r="K141" s="41"/>
      <c r="L141" s="41">
        <f t="shared" si="1"/>
        <v>0</v>
      </c>
      <c r="M141" s="42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>
      <c r="A142" s="43"/>
      <c r="B142" s="41"/>
      <c r="C142" s="41"/>
      <c r="D142" s="41"/>
      <c r="E142" s="41"/>
      <c r="F142" s="41"/>
      <c r="G142" s="41"/>
      <c r="H142" s="42"/>
      <c r="I142" s="41"/>
      <c r="J142" s="41"/>
      <c r="K142" s="41"/>
      <c r="L142" s="41">
        <f t="shared" si="1"/>
        <v>0</v>
      </c>
      <c r="M142" s="42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>
      <c r="A143" s="43"/>
      <c r="B143" s="41"/>
      <c r="C143" s="41"/>
      <c r="D143" s="41"/>
      <c r="E143" s="41"/>
      <c r="F143" s="41"/>
      <c r="G143" s="41"/>
      <c r="H143" s="42"/>
      <c r="I143" s="41"/>
      <c r="J143" s="41"/>
      <c r="K143" s="41"/>
      <c r="L143" s="41">
        <f t="shared" si="1"/>
        <v>0</v>
      </c>
      <c r="M143" s="42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>
      <c r="A144" s="43"/>
      <c r="B144" s="41"/>
      <c r="C144" s="41"/>
      <c r="D144" s="41"/>
      <c r="E144" s="41"/>
      <c r="F144" s="41"/>
      <c r="G144" s="41"/>
      <c r="H144" s="42"/>
      <c r="I144" s="41"/>
      <c r="J144" s="41"/>
      <c r="K144" s="41"/>
      <c r="L144" s="41">
        <f t="shared" si="1"/>
        <v>0</v>
      </c>
      <c r="M144" s="42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>
      <c r="A145" s="43"/>
      <c r="B145" s="41"/>
      <c r="C145" s="41"/>
      <c r="D145" s="41"/>
      <c r="E145" s="41"/>
      <c r="F145" s="41"/>
      <c r="G145" s="41"/>
      <c r="H145" s="42"/>
      <c r="I145" s="41"/>
      <c r="J145" s="41"/>
      <c r="K145" s="41"/>
      <c r="L145" s="41">
        <f t="shared" si="1"/>
        <v>0</v>
      </c>
      <c r="M145" s="42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>
      <c r="A146" s="43"/>
      <c r="B146" s="41"/>
      <c r="C146" s="41"/>
      <c r="D146" s="41"/>
      <c r="E146" s="41"/>
      <c r="F146" s="41"/>
      <c r="G146" s="41"/>
      <c r="H146" s="42"/>
      <c r="I146" s="41"/>
      <c r="J146" s="41"/>
      <c r="K146" s="41"/>
      <c r="L146" s="41">
        <f t="shared" si="1"/>
        <v>0</v>
      </c>
      <c r="M146" s="42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>
      <c r="A147" s="43"/>
      <c r="B147" s="41"/>
      <c r="C147" s="41"/>
      <c r="D147" s="41"/>
      <c r="E147" s="41"/>
      <c r="F147" s="41"/>
      <c r="G147" s="41"/>
      <c r="H147" s="42"/>
      <c r="I147" s="41"/>
      <c r="J147" s="41"/>
      <c r="K147" s="41"/>
      <c r="L147" s="41">
        <f t="shared" si="1"/>
        <v>0</v>
      </c>
      <c r="M147" s="42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>
      <c r="A148" s="43"/>
      <c r="B148" s="41"/>
      <c r="C148" s="41"/>
      <c r="D148" s="41"/>
      <c r="E148" s="41"/>
      <c r="F148" s="41"/>
      <c r="G148" s="41"/>
      <c r="H148" s="42"/>
      <c r="I148" s="41"/>
      <c r="J148" s="41"/>
      <c r="K148" s="41"/>
      <c r="L148" s="41">
        <f t="shared" si="1"/>
        <v>0</v>
      </c>
      <c r="M148" s="42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>
      <c r="A149" s="43"/>
      <c r="B149" s="41"/>
      <c r="C149" s="41"/>
      <c r="D149" s="41"/>
      <c r="E149" s="41"/>
      <c r="F149" s="41"/>
      <c r="G149" s="41"/>
      <c r="H149" s="42"/>
      <c r="I149" s="41"/>
      <c r="J149" s="41"/>
      <c r="K149" s="41"/>
      <c r="L149" s="41">
        <f t="shared" si="1"/>
        <v>0</v>
      </c>
      <c r="M149" s="42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>
      <c r="A150" s="43"/>
      <c r="B150" s="41"/>
      <c r="C150" s="41"/>
      <c r="D150" s="41"/>
      <c r="E150" s="41"/>
      <c r="F150" s="41"/>
      <c r="G150" s="41"/>
      <c r="H150" s="42"/>
      <c r="I150" s="41"/>
      <c r="J150" s="41"/>
      <c r="K150" s="41"/>
      <c r="L150" s="41">
        <f t="shared" si="1"/>
        <v>0</v>
      </c>
      <c r="M150" s="42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>
      <c r="A151" s="43"/>
      <c r="B151" s="41"/>
      <c r="C151" s="41"/>
      <c r="D151" s="41"/>
      <c r="E151" s="41"/>
      <c r="F151" s="41"/>
      <c r="G151" s="41"/>
      <c r="H151" s="42"/>
      <c r="I151" s="41"/>
      <c r="J151" s="41"/>
      <c r="K151" s="41"/>
      <c r="L151" s="41">
        <f t="shared" si="1"/>
        <v>0</v>
      </c>
      <c r="M151" s="42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>
      <c r="A152" s="43"/>
      <c r="B152" s="41"/>
      <c r="C152" s="41"/>
      <c r="D152" s="41"/>
      <c r="E152" s="41"/>
      <c r="F152" s="41"/>
      <c r="G152" s="41"/>
      <c r="H152" s="42"/>
      <c r="I152" s="41"/>
      <c r="J152" s="41"/>
      <c r="K152" s="41"/>
      <c r="L152" s="41">
        <f t="shared" si="1"/>
        <v>0</v>
      </c>
      <c r="M152" s="42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>
      <c r="A153" s="43"/>
      <c r="B153" s="41"/>
      <c r="C153" s="41"/>
      <c r="D153" s="41"/>
      <c r="E153" s="41"/>
      <c r="F153" s="41"/>
      <c r="G153" s="41"/>
      <c r="H153" s="42"/>
      <c r="I153" s="41"/>
      <c r="J153" s="41"/>
      <c r="K153" s="41"/>
      <c r="L153" s="41">
        <f t="shared" si="1"/>
        <v>0</v>
      </c>
      <c r="M153" s="42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>
      <c r="A154" s="43"/>
      <c r="B154" s="41"/>
      <c r="C154" s="41"/>
      <c r="D154" s="41"/>
      <c r="E154" s="41"/>
      <c r="F154" s="41"/>
      <c r="G154" s="41"/>
      <c r="H154" s="42"/>
      <c r="I154" s="41"/>
      <c r="J154" s="41"/>
      <c r="K154" s="41"/>
      <c r="L154" s="41">
        <f t="shared" si="1"/>
        <v>0</v>
      </c>
      <c r="M154" s="42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>
      <c r="A155" s="43"/>
      <c r="B155" s="41"/>
      <c r="C155" s="41"/>
      <c r="D155" s="41"/>
      <c r="E155" s="41"/>
      <c r="F155" s="41"/>
      <c r="G155" s="41"/>
      <c r="H155" s="42"/>
      <c r="I155" s="41"/>
      <c r="J155" s="41"/>
      <c r="K155" s="41"/>
      <c r="L155" s="41">
        <f t="shared" si="1"/>
        <v>0</v>
      </c>
      <c r="M155" s="42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>
      <c r="A156" s="43"/>
      <c r="B156" s="41"/>
      <c r="C156" s="41"/>
      <c r="D156" s="41"/>
      <c r="E156" s="41"/>
      <c r="F156" s="41"/>
      <c r="G156" s="41"/>
      <c r="H156" s="42"/>
      <c r="I156" s="41"/>
      <c r="J156" s="41"/>
      <c r="K156" s="41"/>
      <c r="L156" s="41">
        <f t="shared" si="1"/>
        <v>0</v>
      </c>
      <c r="M156" s="42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>
      <c r="A157" s="43"/>
      <c r="B157" s="41"/>
      <c r="C157" s="41"/>
      <c r="D157" s="41"/>
      <c r="E157" s="41"/>
      <c r="F157" s="41"/>
      <c r="G157" s="41"/>
      <c r="H157" s="42"/>
      <c r="I157" s="41"/>
      <c r="J157" s="41"/>
      <c r="K157" s="41"/>
      <c r="L157" s="41">
        <f t="shared" si="1"/>
        <v>0</v>
      </c>
      <c r="M157" s="42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>
      <c r="A158" s="43"/>
      <c r="B158" s="41"/>
      <c r="C158" s="41"/>
      <c r="D158" s="41"/>
      <c r="E158" s="41"/>
      <c r="F158" s="41"/>
      <c r="G158" s="41"/>
      <c r="H158" s="42"/>
      <c r="I158" s="41"/>
      <c r="J158" s="41"/>
      <c r="K158" s="41"/>
      <c r="L158" s="41">
        <f t="shared" si="1"/>
        <v>0</v>
      </c>
      <c r="M158" s="42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>
      <c r="A159" s="43"/>
      <c r="B159" s="41"/>
      <c r="C159" s="41"/>
      <c r="D159" s="41"/>
      <c r="E159" s="41"/>
      <c r="F159" s="41"/>
      <c r="G159" s="41"/>
      <c r="H159" s="42"/>
      <c r="I159" s="41"/>
      <c r="J159" s="41"/>
      <c r="K159" s="41"/>
      <c r="L159" s="41">
        <f t="shared" si="1"/>
        <v>0</v>
      </c>
      <c r="M159" s="42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>
      <c r="A160" s="43"/>
      <c r="B160" s="41"/>
      <c r="C160" s="41"/>
      <c r="D160" s="41"/>
      <c r="E160" s="41"/>
      <c r="F160" s="41"/>
      <c r="G160" s="41"/>
      <c r="H160" s="42"/>
      <c r="I160" s="41"/>
      <c r="J160" s="41"/>
      <c r="K160" s="41"/>
      <c r="L160" s="41">
        <f t="shared" si="1"/>
        <v>0</v>
      </c>
      <c r="M160" s="42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>
      <c r="A161" s="43"/>
      <c r="B161" s="41"/>
      <c r="C161" s="41"/>
      <c r="D161" s="41"/>
      <c r="E161" s="41"/>
      <c r="F161" s="41"/>
      <c r="G161" s="41"/>
      <c r="H161" s="42"/>
      <c r="I161" s="41"/>
      <c r="J161" s="41"/>
      <c r="K161" s="41"/>
      <c r="L161" s="41">
        <f t="shared" si="1"/>
        <v>0</v>
      </c>
      <c r="M161" s="42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>
      <c r="A162" s="43"/>
      <c r="B162" s="41"/>
      <c r="C162" s="41"/>
      <c r="D162" s="41"/>
      <c r="E162" s="41"/>
      <c r="F162" s="41"/>
      <c r="G162" s="41"/>
      <c r="H162" s="42"/>
      <c r="I162" s="41"/>
      <c r="J162" s="41"/>
      <c r="K162" s="41"/>
      <c r="L162" s="41">
        <f t="shared" si="1"/>
        <v>0</v>
      </c>
      <c r="M162" s="42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>
      <c r="A163" s="43"/>
      <c r="B163" s="41"/>
      <c r="C163" s="41"/>
      <c r="D163" s="41"/>
      <c r="E163" s="41"/>
      <c r="F163" s="41"/>
      <c r="G163" s="41"/>
      <c r="H163" s="42"/>
      <c r="I163" s="41"/>
      <c r="J163" s="41"/>
      <c r="K163" s="41"/>
      <c r="L163" s="41">
        <f t="shared" si="1"/>
        <v>0</v>
      </c>
      <c r="M163" s="42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>
      <c r="A164" s="43"/>
      <c r="B164" s="41"/>
      <c r="C164" s="41"/>
      <c r="D164" s="41"/>
      <c r="E164" s="41"/>
      <c r="F164" s="41"/>
      <c r="G164" s="41"/>
      <c r="H164" s="42"/>
      <c r="I164" s="41"/>
      <c r="J164" s="41"/>
      <c r="K164" s="41"/>
      <c r="L164" s="41">
        <f t="shared" si="1"/>
        <v>0</v>
      </c>
      <c r="M164" s="42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>
      <c r="A165" s="43"/>
      <c r="B165" s="41"/>
      <c r="C165" s="41"/>
      <c r="D165" s="41"/>
      <c r="E165" s="41"/>
      <c r="F165" s="41"/>
      <c r="G165" s="41"/>
      <c r="H165" s="42"/>
      <c r="I165" s="41"/>
      <c r="J165" s="41"/>
      <c r="K165" s="41"/>
      <c r="L165" s="41">
        <f t="shared" si="1"/>
        <v>0</v>
      </c>
      <c r="M165" s="42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>
      <c r="A166" s="43"/>
      <c r="B166" s="41"/>
      <c r="C166" s="41"/>
      <c r="D166" s="41"/>
      <c r="E166" s="41"/>
      <c r="F166" s="41"/>
      <c r="G166" s="41"/>
      <c r="H166" s="42"/>
      <c r="I166" s="41"/>
      <c r="J166" s="41"/>
      <c r="K166" s="41"/>
      <c r="L166" s="41">
        <f t="shared" si="1"/>
        <v>0</v>
      </c>
      <c r="M166" s="42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>
      <c r="A167" s="43"/>
      <c r="B167" s="41"/>
      <c r="C167" s="40"/>
      <c r="D167" s="40"/>
      <c r="E167" s="40"/>
      <c r="F167" s="41"/>
      <c r="G167" s="41"/>
      <c r="H167" s="42"/>
      <c r="I167" s="41"/>
      <c r="J167" s="40"/>
      <c r="K167" s="40"/>
      <c r="L167" s="41">
        <f t="shared" si="1"/>
        <v>0</v>
      </c>
      <c r="M167" s="42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>
      <c r="A168" s="43"/>
      <c r="B168" s="41"/>
      <c r="C168" s="41"/>
      <c r="D168" s="41"/>
      <c r="E168" s="41"/>
      <c r="F168" s="41"/>
      <c r="G168" s="41"/>
      <c r="H168" s="42"/>
      <c r="I168" s="41"/>
      <c r="J168" s="41"/>
      <c r="K168" s="41"/>
      <c r="L168" s="41">
        <f t="shared" si="1"/>
        <v>0</v>
      </c>
      <c r="M168" s="42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>
      <c r="A169" s="43"/>
      <c r="B169" s="41"/>
      <c r="C169" s="41"/>
      <c r="D169" s="41"/>
      <c r="E169" s="41"/>
      <c r="F169" s="41"/>
      <c r="G169" s="41"/>
      <c r="H169" s="42"/>
      <c r="I169" s="41"/>
      <c r="J169" s="41"/>
      <c r="K169" s="41"/>
      <c r="L169" s="41">
        <f t="shared" si="1"/>
        <v>0</v>
      </c>
      <c r="M169" s="42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>
      <c r="A170" s="43"/>
      <c r="B170" s="41"/>
      <c r="C170" s="41"/>
      <c r="D170" s="41"/>
      <c r="E170" s="41"/>
      <c r="F170" s="41"/>
      <c r="G170" s="41"/>
      <c r="H170" s="42"/>
      <c r="I170" s="41"/>
      <c r="J170" s="41"/>
      <c r="K170" s="41"/>
      <c r="L170" s="41">
        <f t="shared" si="1"/>
        <v>0</v>
      </c>
      <c r="M170" s="42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>
      <c r="A171" s="43"/>
      <c r="B171" s="41"/>
      <c r="C171" s="41"/>
      <c r="D171" s="41"/>
      <c r="E171" s="41"/>
      <c r="F171" s="41"/>
      <c r="G171" s="41"/>
      <c r="H171" s="42"/>
      <c r="I171" s="41"/>
      <c r="J171" s="41"/>
      <c r="K171" s="41"/>
      <c r="L171" s="41">
        <f t="shared" si="1"/>
        <v>0</v>
      </c>
      <c r="M171" s="42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>
      <c r="A172" s="43"/>
      <c r="B172" s="41"/>
      <c r="C172" s="41"/>
      <c r="D172" s="41"/>
      <c r="E172" s="41"/>
      <c r="F172" s="41"/>
      <c r="G172" s="41"/>
      <c r="H172" s="42"/>
      <c r="I172" s="41"/>
      <c r="J172" s="41"/>
      <c r="K172" s="41"/>
      <c r="L172" s="41">
        <f t="shared" si="1"/>
        <v>0</v>
      </c>
      <c r="M172" s="42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>
      <c r="A173" s="43"/>
      <c r="B173" s="41"/>
      <c r="C173" s="41"/>
      <c r="D173" s="41"/>
      <c r="E173" s="41"/>
      <c r="F173" s="41"/>
      <c r="G173" s="41"/>
      <c r="H173" s="42"/>
      <c r="I173" s="41"/>
      <c r="J173" s="41"/>
      <c r="K173" s="41"/>
      <c r="L173" s="41">
        <f t="shared" si="1"/>
        <v>0</v>
      </c>
      <c r="M173" s="42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>
      <c r="A174" s="43"/>
      <c r="B174" s="41"/>
      <c r="C174" s="41"/>
      <c r="D174" s="41"/>
      <c r="E174" s="41"/>
      <c r="F174" s="41"/>
      <c r="G174" s="41"/>
      <c r="H174" s="42"/>
      <c r="I174" s="41"/>
      <c r="J174" s="41"/>
      <c r="K174" s="41"/>
      <c r="L174" s="41">
        <f t="shared" si="1"/>
        <v>0</v>
      </c>
      <c r="M174" s="42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>
      <c r="A175" s="43"/>
      <c r="B175" s="41"/>
      <c r="C175" s="41"/>
      <c r="D175" s="41"/>
      <c r="E175" s="41"/>
      <c r="F175" s="41"/>
      <c r="G175" s="41"/>
      <c r="H175" s="42"/>
      <c r="I175" s="41"/>
      <c r="J175" s="41"/>
      <c r="K175" s="41"/>
      <c r="L175" s="41">
        <f t="shared" si="1"/>
        <v>0</v>
      </c>
      <c r="M175" s="42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>
      <c r="A176" s="43"/>
      <c r="B176" s="41"/>
      <c r="C176" s="41"/>
      <c r="D176" s="41"/>
      <c r="E176" s="41"/>
      <c r="F176" s="41"/>
      <c r="G176" s="41"/>
      <c r="H176" s="42"/>
      <c r="I176" s="41"/>
      <c r="J176" s="41"/>
      <c r="K176" s="41"/>
      <c r="L176" s="41">
        <f t="shared" si="1"/>
        <v>0</v>
      </c>
      <c r="M176" s="42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>
      <c r="A177" s="43"/>
      <c r="B177" s="41"/>
      <c r="C177" s="41"/>
      <c r="D177" s="41"/>
      <c r="E177" s="41"/>
      <c r="F177" s="41"/>
      <c r="G177" s="41"/>
      <c r="H177" s="42"/>
      <c r="I177" s="41"/>
      <c r="J177" s="41"/>
      <c r="K177" s="41"/>
      <c r="L177" s="41">
        <f t="shared" si="1"/>
        <v>0</v>
      </c>
      <c r="M177" s="42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>
      <c r="A178" s="43"/>
      <c r="B178" s="41"/>
      <c r="C178" s="41"/>
      <c r="D178" s="41"/>
      <c r="E178" s="41"/>
      <c r="F178" s="41"/>
      <c r="G178" s="41"/>
      <c r="H178" s="42"/>
      <c r="I178" s="41"/>
      <c r="J178" s="41"/>
      <c r="K178" s="41"/>
      <c r="L178" s="41">
        <f t="shared" si="1"/>
        <v>0</v>
      </c>
      <c r="M178" s="42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>
      <c r="A179" s="43"/>
      <c r="B179" s="41"/>
      <c r="C179" s="41"/>
      <c r="D179" s="41"/>
      <c r="E179" s="41"/>
      <c r="F179" s="41"/>
      <c r="G179" s="41"/>
      <c r="H179" s="42"/>
      <c r="I179" s="41"/>
      <c r="J179" s="41"/>
      <c r="K179" s="41"/>
      <c r="L179" s="41">
        <f t="shared" si="1"/>
        <v>0</v>
      </c>
      <c r="M179" s="42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>
      <c r="A180" s="43"/>
      <c r="B180" s="41"/>
      <c r="C180" s="41"/>
      <c r="D180" s="41"/>
      <c r="E180" s="41"/>
      <c r="F180" s="41"/>
      <c r="G180" s="41"/>
      <c r="H180" s="42"/>
      <c r="I180" s="41"/>
      <c r="J180" s="41"/>
      <c r="K180" s="41"/>
      <c r="L180" s="41">
        <f t="shared" si="1"/>
        <v>0</v>
      </c>
      <c r="M180" s="42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>
      <c r="A181" s="43"/>
      <c r="B181" s="41"/>
      <c r="C181" s="41"/>
      <c r="D181" s="41"/>
      <c r="E181" s="41"/>
      <c r="F181" s="41"/>
      <c r="G181" s="41"/>
      <c r="H181" s="42"/>
      <c r="I181" s="41"/>
      <c r="J181" s="41"/>
      <c r="K181" s="41"/>
      <c r="L181" s="41">
        <f t="shared" si="1"/>
        <v>0</v>
      </c>
      <c r="M181" s="42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>
      <c r="A182" s="43"/>
      <c r="B182" s="41"/>
      <c r="C182" s="41"/>
      <c r="D182" s="41"/>
      <c r="E182" s="41"/>
      <c r="F182" s="41"/>
      <c r="G182" s="41"/>
      <c r="H182" s="42"/>
      <c r="I182" s="41"/>
      <c r="J182" s="41"/>
      <c r="K182" s="41"/>
      <c r="L182" s="41">
        <f t="shared" si="1"/>
        <v>0</v>
      </c>
      <c r="M182" s="42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>
      <c r="A183" s="43"/>
      <c r="B183" s="41"/>
      <c r="C183" s="41"/>
      <c r="D183" s="41"/>
      <c r="E183" s="41"/>
      <c r="F183" s="41"/>
      <c r="G183" s="41"/>
      <c r="H183" s="42"/>
      <c r="I183" s="41"/>
      <c r="J183" s="41"/>
      <c r="K183" s="41"/>
      <c r="L183" s="41">
        <f t="shared" si="1"/>
        <v>0</v>
      </c>
      <c r="M183" s="42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>
      <c r="A184" s="43"/>
      <c r="B184" s="41"/>
      <c r="C184" s="41"/>
      <c r="D184" s="41"/>
      <c r="E184" s="41"/>
      <c r="F184" s="41"/>
      <c r="G184" s="41"/>
      <c r="H184" s="42"/>
      <c r="I184" s="41"/>
      <c r="J184" s="41"/>
      <c r="K184" s="41"/>
      <c r="L184" s="41">
        <f t="shared" si="1"/>
        <v>0</v>
      </c>
      <c r="M184" s="42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>
      <c r="A185" s="43"/>
      <c r="B185" s="41"/>
      <c r="C185" s="41"/>
      <c r="D185" s="41"/>
      <c r="E185" s="41"/>
      <c r="F185" s="41"/>
      <c r="G185" s="41"/>
      <c r="H185" s="42"/>
      <c r="I185" s="41"/>
      <c r="J185" s="41"/>
      <c r="K185" s="41"/>
      <c r="L185" s="41">
        <f t="shared" si="1"/>
        <v>0</v>
      </c>
      <c r="M185" s="42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>
      <c r="A186" s="43"/>
      <c r="B186" s="41"/>
      <c r="C186" s="41"/>
      <c r="D186" s="41"/>
      <c r="E186" s="41"/>
      <c r="F186" s="41"/>
      <c r="G186" s="41"/>
      <c r="H186" s="42"/>
      <c r="I186" s="41"/>
      <c r="J186" s="41"/>
      <c r="K186" s="41"/>
      <c r="L186" s="41">
        <f t="shared" si="1"/>
        <v>0</v>
      </c>
      <c r="M186" s="42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>
      <c r="A187" s="43"/>
      <c r="B187" s="41"/>
      <c r="C187" s="41"/>
      <c r="D187" s="41"/>
      <c r="E187" s="41"/>
      <c r="F187" s="41"/>
      <c r="G187" s="41"/>
      <c r="H187" s="42"/>
      <c r="I187" s="41"/>
      <c r="J187" s="41"/>
      <c r="K187" s="41"/>
      <c r="L187" s="41">
        <f t="shared" si="1"/>
        <v>0</v>
      </c>
      <c r="M187" s="42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>
      <c r="A188" s="43"/>
      <c r="B188" s="41"/>
      <c r="C188" s="41"/>
      <c r="D188" s="41"/>
      <c r="E188" s="41"/>
      <c r="F188" s="41"/>
      <c r="G188" s="41"/>
      <c r="H188" s="42"/>
      <c r="I188" s="41"/>
      <c r="J188" s="41"/>
      <c r="K188" s="41"/>
      <c r="L188" s="41">
        <f t="shared" si="1"/>
        <v>0</v>
      </c>
      <c r="M188" s="42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>
      <c r="A189" s="43"/>
      <c r="B189" s="41"/>
      <c r="C189" s="41"/>
      <c r="D189" s="41"/>
      <c r="E189" s="41"/>
      <c r="F189" s="41"/>
      <c r="G189" s="41"/>
      <c r="H189" s="42"/>
      <c r="I189" s="41"/>
      <c r="J189" s="41"/>
      <c r="K189" s="41"/>
      <c r="L189" s="41">
        <f t="shared" si="1"/>
        <v>0</v>
      </c>
      <c r="M189" s="42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>
      <c r="A190" s="43"/>
      <c r="B190" s="41"/>
      <c r="C190" s="41"/>
      <c r="D190" s="41"/>
      <c r="E190" s="41"/>
      <c r="F190" s="41"/>
      <c r="G190" s="41"/>
      <c r="H190" s="42"/>
      <c r="I190" s="41"/>
      <c r="J190" s="41"/>
      <c r="K190" s="41"/>
      <c r="L190" s="41">
        <f t="shared" si="1"/>
        <v>0</v>
      </c>
      <c r="M190" s="42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>
      <c r="A191" s="43"/>
      <c r="B191" s="41"/>
      <c r="C191" s="41"/>
      <c r="D191" s="41"/>
      <c r="E191" s="41"/>
      <c r="F191" s="41"/>
      <c r="G191" s="41"/>
      <c r="H191" s="42"/>
      <c r="I191" s="41"/>
      <c r="J191" s="41"/>
      <c r="K191" s="41"/>
      <c r="L191" s="41">
        <f t="shared" si="1"/>
        <v>0</v>
      </c>
      <c r="M191" s="42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>
      <c r="A192" s="43"/>
      <c r="B192" s="41"/>
      <c r="C192" s="41"/>
      <c r="D192" s="41"/>
      <c r="E192" s="41"/>
      <c r="F192" s="41"/>
      <c r="G192" s="41"/>
      <c r="H192" s="42"/>
      <c r="I192" s="41"/>
      <c r="J192" s="41"/>
      <c r="K192" s="41"/>
      <c r="L192" s="41">
        <f t="shared" si="1"/>
        <v>0</v>
      </c>
      <c r="M192" s="42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>
      <c r="A193" s="43"/>
      <c r="B193" s="41"/>
      <c r="C193" s="40"/>
      <c r="D193" s="40"/>
      <c r="E193" s="40"/>
      <c r="F193" s="41"/>
      <c r="G193" s="41"/>
      <c r="H193" s="42"/>
      <c r="I193" s="41"/>
      <c r="J193" s="40"/>
      <c r="K193" s="40"/>
      <c r="L193" s="41">
        <f t="shared" si="1"/>
        <v>0</v>
      </c>
      <c r="M193" s="42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>
      <c r="A194" s="43"/>
      <c r="B194" s="41"/>
      <c r="C194" s="41"/>
      <c r="D194" s="41"/>
      <c r="E194" s="41"/>
      <c r="F194" s="41"/>
      <c r="G194" s="41"/>
      <c r="H194" s="42"/>
      <c r="I194" s="41"/>
      <c r="J194" s="41"/>
      <c r="K194" s="41"/>
      <c r="L194" s="41">
        <f t="shared" si="1"/>
        <v>0</v>
      </c>
      <c r="M194" s="42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>
      <c r="A195" s="43"/>
      <c r="B195" s="41"/>
      <c r="C195" s="41"/>
      <c r="D195" s="41"/>
      <c r="E195" s="41"/>
      <c r="F195" s="41"/>
      <c r="G195" s="41"/>
      <c r="H195" s="42"/>
      <c r="I195" s="41"/>
      <c r="J195" s="41"/>
      <c r="K195" s="41"/>
      <c r="L195" s="41">
        <f t="shared" si="1"/>
        <v>0</v>
      </c>
      <c r="M195" s="42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>
      <c r="A196" s="43"/>
      <c r="B196" s="41"/>
      <c r="C196" s="41"/>
      <c r="D196" s="41"/>
      <c r="E196" s="41"/>
      <c r="F196" s="41"/>
      <c r="G196" s="41"/>
      <c r="H196" s="42"/>
      <c r="I196" s="41"/>
      <c r="J196" s="41"/>
      <c r="K196" s="41"/>
      <c r="L196" s="41">
        <f t="shared" si="1"/>
        <v>0</v>
      </c>
      <c r="M196" s="42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>
      <c r="A197" s="43"/>
      <c r="B197" s="41"/>
      <c r="C197" s="41"/>
      <c r="D197" s="41"/>
      <c r="E197" s="41"/>
      <c r="F197" s="41"/>
      <c r="G197" s="41"/>
      <c r="H197" s="42"/>
      <c r="I197" s="41"/>
      <c r="J197" s="41"/>
      <c r="K197" s="41"/>
      <c r="L197" s="41">
        <f t="shared" si="1"/>
        <v>0</v>
      </c>
      <c r="M197" s="42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>
      <c r="A198" s="43"/>
      <c r="B198" s="41"/>
      <c r="C198" s="41"/>
      <c r="D198" s="41"/>
      <c r="E198" s="41"/>
      <c r="F198" s="41"/>
      <c r="G198" s="41"/>
      <c r="H198" s="42"/>
      <c r="I198" s="41"/>
      <c r="J198" s="41"/>
      <c r="K198" s="41"/>
      <c r="L198" s="41">
        <f t="shared" si="1"/>
        <v>0</v>
      </c>
      <c r="M198" s="42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>
      <c r="A199" s="43"/>
      <c r="B199" s="41"/>
      <c r="C199" s="41"/>
      <c r="D199" s="41"/>
      <c r="E199" s="41"/>
      <c r="F199" s="41"/>
      <c r="G199" s="41"/>
      <c r="H199" s="42"/>
      <c r="I199" s="41"/>
      <c r="J199" s="41"/>
      <c r="K199" s="41"/>
      <c r="L199" s="41">
        <f t="shared" si="1"/>
        <v>0</v>
      </c>
      <c r="M199" s="42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>
      <c r="A200" s="43"/>
      <c r="B200" s="41"/>
      <c r="C200" s="41"/>
      <c r="D200" s="41"/>
      <c r="E200" s="41"/>
      <c r="F200" s="41"/>
      <c r="G200" s="41"/>
      <c r="H200" s="42"/>
      <c r="I200" s="41"/>
      <c r="J200" s="41"/>
      <c r="K200" s="41"/>
      <c r="L200" s="41">
        <f t="shared" si="1"/>
        <v>0</v>
      </c>
      <c r="M200" s="42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>
      <c r="A201" s="43"/>
      <c r="B201" s="41"/>
      <c r="C201" s="40"/>
      <c r="D201" s="40"/>
      <c r="E201" s="40"/>
      <c r="F201" s="42"/>
      <c r="G201" s="42"/>
      <c r="H201" s="42"/>
      <c r="I201" s="40"/>
      <c r="J201" s="40"/>
      <c r="K201" s="40"/>
      <c r="L201" s="40">
        <f t="shared" si="1"/>
        <v>0</v>
      </c>
      <c r="M201" s="42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>
      <c r="A202" s="43"/>
      <c r="B202" s="41"/>
      <c r="C202" s="41"/>
      <c r="D202" s="41"/>
      <c r="E202" s="41"/>
      <c r="F202" s="41"/>
      <c r="G202" s="41"/>
      <c r="H202" s="42"/>
      <c r="I202" s="41"/>
      <c r="J202" s="41"/>
      <c r="K202" s="41"/>
      <c r="L202" s="41">
        <f t="shared" si="1"/>
        <v>0</v>
      </c>
      <c r="M202" s="42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>
      <c r="A203" s="43"/>
      <c r="B203" s="41"/>
      <c r="C203" s="41"/>
      <c r="D203" s="41"/>
      <c r="E203" s="41"/>
      <c r="F203" s="41"/>
      <c r="G203" s="41"/>
      <c r="H203" s="42"/>
      <c r="I203" s="41"/>
      <c r="J203" s="41"/>
      <c r="K203" s="41"/>
      <c r="L203" s="41">
        <f t="shared" si="1"/>
        <v>0</v>
      </c>
      <c r="M203" s="42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>
      <c r="A204" s="43"/>
      <c r="B204" s="41"/>
      <c r="C204" s="41"/>
      <c r="D204" s="41"/>
      <c r="E204" s="41"/>
      <c r="F204" s="41"/>
      <c r="G204" s="41"/>
      <c r="H204" s="42"/>
      <c r="I204" s="41"/>
      <c r="J204" s="41"/>
      <c r="K204" s="41"/>
      <c r="L204" s="41">
        <f t="shared" si="1"/>
        <v>0</v>
      </c>
      <c r="M204" s="42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>
      <c r="A205" s="43"/>
      <c r="B205" s="41"/>
      <c r="C205" s="41"/>
      <c r="D205" s="41"/>
      <c r="E205" s="41"/>
      <c r="F205" s="41"/>
      <c r="G205" s="41"/>
      <c r="H205" s="42"/>
      <c r="I205" s="41"/>
      <c r="J205" s="41"/>
      <c r="K205" s="41"/>
      <c r="L205" s="41">
        <f t="shared" si="1"/>
        <v>0</v>
      </c>
      <c r="M205" s="42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>
      <c r="A206" s="43"/>
      <c r="B206" s="41"/>
      <c r="C206" s="41"/>
      <c r="D206" s="41"/>
      <c r="E206" s="41"/>
      <c r="F206" s="41"/>
      <c r="G206" s="41"/>
      <c r="H206" s="42"/>
      <c r="I206" s="41"/>
      <c r="J206" s="41"/>
      <c r="K206" s="41"/>
      <c r="L206" s="41">
        <f t="shared" si="1"/>
        <v>0</v>
      </c>
      <c r="M206" s="42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>
      <c r="A207" s="43"/>
      <c r="B207" s="41"/>
      <c r="C207" s="41"/>
      <c r="D207" s="41"/>
      <c r="E207" s="41"/>
      <c r="F207" s="41"/>
      <c r="G207" s="41"/>
      <c r="H207" s="42"/>
      <c r="I207" s="41"/>
      <c r="J207" s="41"/>
      <c r="K207" s="41"/>
      <c r="L207" s="41">
        <f t="shared" si="1"/>
        <v>0</v>
      </c>
      <c r="M207" s="42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>
      <c r="A208" s="43"/>
      <c r="B208" s="41"/>
      <c r="C208" s="41"/>
      <c r="D208" s="41"/>
      <c r="E208" s="41"/>
      <c r="F208" s="41"/>
      <c r="G208" s="41"/>
      <c r="H208" s="42"/>
      <c r="I208" s="41"/>
      <c r="J208" s="41"/>
      <c r="K208" s="41"/>
      <c r="L208" s="41">
        <f t="shared" si="1"/>
        <v>0</v>
      </c>
      <c r="M208" s="42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>
      <c r="A209" s="43"/>
      <c r="B209" s="41"/>
      <c r="C209" s="41"/>
      <c r="D209" s="41"/>
      <c r="E209" s="41"/>
      <c r="F209" s="41"/>
      <c r="G209" s="41"/>
      <c r="H209" s="42"/>
      <c r="I209" s="41"/>
      <c r="J209" s="41"/>
      <c r="K209" s="41"/>
      <c r="L209" s="41">
        <f t="shared" si="1"/>
        <v>0</v>
      </c>
      <c r="M209" s="42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>
      <c r="A210" s="43"/>
      <c r="B210" s="41"/>
      <c r="C210" s="41"/>
      <c r="D210" s="41"/>
      <c r="E210" s="41"/>
      <c r="F210" s="41"/>
      <c r="G210" s="41"/>
      <c r="H210" s="42"/>
      <c r="I210" s="41"/>
      <c r="J210" s="41"/>
      <c r="K210" s="41"/>
      <c r="L210" s="41">
        <f t="shared" si="1"/>
        <v>0</v>
      </c>
      <c r="M210" s="42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>
      <c r="A211" s="43"/>
      <c r="B211" s="41"/>
      <c r="C211" s="41"/>
      <c r="D211" s="41"/>
      <c r="E211" s="41"/>
      <c r="F211" s="41"/>
      <c r="G211" s="41"/>
      <c r="H211" s="42"/>
      <c r="I211" s="41"/>
      <c r="J211" s="41"/>
      <c r="K211" s="41"/>
      <c r="L211" s="41">
        <f t="shared" si="1"/>
        <v>0</v>
      </c>
      <c r="M211" s="42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>
      <c r="A212" s="43"/>
      <c r="B212" s="41"/>
      <c r="C212" s="41"/>
      <c r="D212" s="41"/>
      <c r="E212" s="41"/>
      <c r="F212" s="41"/>
      <c r="G212" s="41"/>
      <c r="H212" s="42"/>
      <c r="I212" s="41"/>
      <c r="J212" s="41"/>
      <c r="K212" s="41"/>
      <c r="L212" s="41">
        <f t="shared" si="1"/>
        <v>0</v>
      </c>
      <c r="M212" s="42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>
      <c r="A213" s="43"/>
      <c r="B213" s="41"/>
      <c r="C213" s="41"/>
      <c r="D213" s="41"/>
      <c r="E213" s="41"/>
      <c r="F213" s="41"/>
      <c r="G213" s="41"/>
      <c r="H213" s="42"/>
      <c r="I213" s="41"/>
      <c r="J213" s="41"/>
      <c r="K213" s="41"/>
      <c r="L213" s="41">
        <f t="shared" si="1"/>
        <v>0</v>
      </c>
      <c r="M213" s="42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>
      <c r="A214" s="43"/>
      <c r="B214" s="41"/>
      <c r="C214" s="41"/>
      <c r="D214" s="41"/>
      <c r="E214" s="41"/>
      <c r="F214" s="41"/>
      <c r="G214" s="41"/>
      <c r="H214" s="42"/>
      <c r="I214" s="41"/>
      <c r="J214" s="41"/>
      <c r="K214" s="41"/>
      <c r="L214" s="41">
        <f t="shared" si="1"/>
        <v>0</v>
      </c>
      <c r="M214" s="42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>
      <c r="A215" s="43"/>
      <c r="B215" s="41"/>
      <c r="C215" s="41"/>
      <c r="D215" s="41"/>
      <c r="E215" s="41"/>
      <c r="F215" s="41"/>
      <c r="G215" s="41"/>
      <c r="H215" s="42"/>
      <c r="I215" s="41"/>
      <c r="J215" s="41"/>
      <c r="K215" s="41"/>
      <c r="L215" s="41">
        <f t="shared" si="1"/>
        <v>0</v>
      </c>
      <c r="M215" s="42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>
      <c r="A216" s="43"/>
      <c r="B216" s="41"/>
      <c r="C216" s="41"/>
      <c r="D216" s="41"/>
      <c r="E216" s="41"/>
      <c r="F216" s="41"/>
      <c r="G216" s="41"/>
      <c r="H216" s="42"/>
      <c r="I216" s="41"/>
      <c r="J216" s="41"/>
      <c r="K216" s="41"/>
      <c r="L216" s="41">
        <f t="shared" si="1"/>
        <v>0</v>
      </c>
      <c r="M216" s="42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>
      <c r="A217" s="43"/>
      <c r="B217" s="41"/>
      <c r="C217" s="41"/>
      <c r="D217" s="41"/>
      <c r="E217" s="41"/>
      <c r="F217" s="41"/>
      <c r="G217" s="41"/>
      <c r="H217" s="42"/>
      <c r="I217" s="41"/>
      <c r="J217" s="41"/>
      <c r="K217" s="41"/>
      <c r="L217" s="41">
        <f t="shared" si="1"/>
        <v>0</v>
      </c>
      <c r="M217" s="42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>
      <c r="A218" s="43"/>
      <c r="B218" s="41"/>
      <c r="C218" s="41"/>
      <c r="D218" s="41"/>
      <c r="E218" s="41"/>
      <c r="F218" s="41"/>
      <c r="G218" s="41"/>
      <c r="H218" s="42"/>
      <c r="I218" s="41"/>
      <c r="J218" s="41"/>
      <c r="K218" s="41"/>
      <c r="L218" s="41">
        <f t="shared" si="1"/>
        <v>0</v>
      </c>
      <c r="M218" s="42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>
      <c r="A219" s="43"/>
      <c r="B219" s="41"/>
      <c r="C219" s="41"/>
      <c r="D219" s="41"/>
      <c r="E219" s="41"/>
      <c r="F219" s="41"/>
      <c r="G219" s="41"/>
      <c r="H219" s="42"/>
      <c r="I219" s="41"/>
      <c r="J219" s="41"/>
      <c r="K219" s="41"/>
      <c r="L219" s="41">
        <f t="shared" si="1"/>
        <v>0</v>
      </c>
      <c r="M219" s="42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>
      <c r="A220" s="43"/>
      <c r="B220" s="41"/>
      <c r="C220" s="41"/>
      <c r="D220" s="41"/>
      <c r="E220" s="41"/>
      <c r="F220" s="41"/>
      <c r="G220" s="41"/>
      <c r="H220" s="42"/>
      <c r="I220" s="41"/>
      <c r="J220" s="41"/>
      <c r="K220" s="41"/>
      <c r="L220" s="41">
        <f t="shared" si="1"/>
        <v>0</v>
      </c>
      <c r="M220" s="42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>
      <c r="A221" s="43"/>
      <c r="B221" s="41"/>
      <c r="C221" s="41"/>
      <c r="D221" s="41"/>
      <c r="E221" s="41"/>
      <c r="F221" s="41"/>
      <c r="G221" s="41"/>
      <c r="H221" s="42"/>
      <c r="I221" s="41"/>
      <c r="J221" s="41"/>
      <c r="K221" s="41"/>
      <c r="L221" s="41">
        <f t="shared" si="1"/>
        <v>0</v>
      </c>
      <c r="M221" s="42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>
      <c r="A222" s="43"/>
      <c r="B222" s="41"/>
      <c r="C222" s="41"/>
      <c r="D222" s="41"/>
      <c r="E222" s="41"/>
      <c r="F222" s="41"/>
      <c r="G222" s="41"/>
      <c r="H222" s="42"/>
      <c r="I222" s="41"/>
      <c r="J222" s="41"/>
      <c r="K222" s="41"/>
      <c r="L222" s="41">
        <f t="shared" si="1"/>
        <v>0</v>
      </c>
      <c r="M222" s="42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>
      <c r="A223" s="43"/>
      <c r="B223" s="41"/>
      <c r="C223" s="41"/>
      <c r="D223" s="41"/>
      <c r="E223" s="41"/>
      <c r="F223" s="41"/>
      <c r="G223" s="41"/>
      <c r="H223" s="42"/>
      <c r="I223" s="41"/>
      <c r="J223" s="41"/>
      <c r="K223" s="41"/>
      <c r="L223" s="41">
        <f t="shared" si="1"/>
        <v>0</v>
      </c>
      <c r="M223" s="42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>
      <c r="A224" s="43"/>
      <c r="B224" s="41"/>
      <c r="C224" s="41"/>
      <c r="D224" s="41"/>
      <c r="E224" s="41"/>
      <c r="F224" s="41"/>
      <c r="G224" s="41"/>
      <c r="H224" s="42"/>
      <c r="I224" s="41"/>
      <c r="J224" s="41"/>
      <c r="K224" s="41"/>
      <c r="L224" s="41">
        <f t="shared" si="1"/>
        <v>0</v>
      </c>
      <c r="M224" s="42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>
      <c r="A225" s="43"/>
      <c r="B225" s="41"/>
      <c r="C225" s="41"/>
      <c r="D225" s="41"/>
      <c r="E225" s="41"/>
      <c r="F225" s="41"/>
      <c r="G225" s="41"/>
      <c r="H225" s="42"/>
      <c r="I225" s="41"/>
      <c r="J225" s="41"/>
      <c r="K225" s="41"/>
      <c r="L225" s="41">
        <f t="shared" si="1"/>
        <v>0</v>
      </c>
      <c r="M225" s="42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>
      <c r="A226" s="43"/>
      <c r="B226" s="41"/>
      <c r="C226" s="41"/>
      <c r="D226" s="41"/>
      <c r="E226" s="41"/>
      <c r="F226" s="41"/>
      <c r="G226" s="41"/>
      <c r="H226" s="42"/>
      <c r="I226" s="41"/>
      <c r="J226" s="41"/>
      <c r="K226" s="41"/>
      <c r="L226" s="41">
        <f t="shared" si="1"/>
        <v>0</v>
      </c>
      <c r="M226" s="42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>
      <c r="A227" s="43"/>
      <c r="B227" s="41"/>
      <c r="C227" s="41"/>
      <c r="D227" s="41"/>
      <c r="E227" s="41"/>
      <c r="F227" s="41"/>
      <c r="G227" s="41"/>
      <c r="H227" s="42"/>
      <c r="I227" s="41"/>
      <c r="J227" s="41"/>
      <c r="K227" s="41"/>
      <c r="L227" s="41">
        <f t="shared" si="1"/>
        <v>0</v>
      </c>
      <c r="M227" s="42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>
      <c r="A228" s="43"/>
      <c r="B228" s="41"/>
      <c r="C228" s="41"/>
      <c r="D228" s="41"/>
      <c r="E228" s="41"/>
      <c r="F228" s="41"/>
      <c r="G228" s="41"/>
      <c r="H228" s="42"/>
      <c r="I228" s="41"/>
      <c r="J228" s="41"/>
      <c r="K228" s="41"/>
      <c r="L228" s="41">
        <f t="shared" si="1"/>
        <v>0</v>
      </c>
      <c r="M228" s="42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>
      <c r="A229" s="43"/>
      <c r="B229" s="41"/>
      <c r="C229" s="41"/>
      <c r="D229" s="41"/>
      <c r="E229" s="41"/>
      <c r="F229" s="41"/>
      <c r="G229" s="41"/>
      <c r="H229" s="42"/>
      <c r="I229" s="41"/>
      <c r="J229" s="41"/>
      <c r="K229" s="41"/>
      <c r="L229" s="41">
        <f t="shared" si="1"/>
        <v>0</v>
      </c>
      <c r="M229" s="42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>
      <c r="A230" s="43"/>
      <c r="B230" s="41"/>
      <c r="C230" s="41"/>
      <c r="D230" s="41"/>
      <c r="E230" s="41"/>
      <c r="F230" s="41"/>
      <c r="G230" s="41"/>
      <c r="H230" s="42"/>
      <c r="I230" s="41"/>
      <c r="J230" s="41"/>
      <c r="K230" s="41"/>
      <c r="L230" s="41">
        <f t="shared" si="1"/>
        <v>0</v>
      </c>
      <c r="M230" s="42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>
      <c r="A231" s="43"/>
      <c r="B231" s="41"/>
      <c r="C231" s="41"/>
      <c r="D231" s="41"/>
      <c r="E231" s="41"/>
      <c r="F231" s="41"/>
      <c r="G231" s="41"/>
      <c r="H231" s="42"/>
      <c r="I231" s="41"/>
      <c r="J231" s="41"/>
      <c r="K231" s="41"/>
      <c r="L231" s="41">
        <f t="shared" si="1"/>
        <v>0</v>
      </c>
      <c r="M231" s="42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>
      <c r="A232" s="43"/>
      <c r="B232" s="41"/>
      <c r="C232" s="41"/>
      <c r="D232" s="41"/>
      <c r="E232" s="41"/>
      <c r="F232" s="41"/>
      <c r="G232" s="41"/>
      <c r="H232" s="42"/>
      <c r="I232" s="41"/>
      <c r="J232" s="41"/>
      <c r="K232" s="41"/>
      <c r="L232" s="41">
        <f t="shared" si="1"/>
        <v>0</v>
      </c>
      <c r="M232" s="42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>
      <c r="A233" s="43"/>
      <c r="B233" s="41"/>
      <c r="C233" s="41"/>
      <c r="D233" s="41"/>
      <c r="E233" s="41"/>
      <c r="F233" s="41"/>
      <c r="G233" s="41"/>
      <c r="H233" s="42"/>
      <c r="I233" s="41"/>
      <c r="J233" s="41"/>
      <c r="K233" s="41"/>
      <c r="L233" s="41">
        <f t="shared" si="1"/>
        <v>0</v>
      </c>
      <c r="M233" s="42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>
      <c r="A234" s="43"/>
      <c r="B234" s="41"/>
      <c r="C234" s="41"/>
      <c r="D234" s="41"/>
      <c r="E234" s="41"/>
      <c r="F234" s="41"/>
      <c r="G234" s="41"/>
      <c r="H234" s="42"/>
      <c r="I234" s="41"/>
      <c r="J234" s="41"/>
      <c r="K234" s="41"/>
      <c r="L234" s="41">
        <f t="shared" si="1"/>
        <v>0</v>
      </c>
      <c r="M234" s="42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>
      <c r="A235" s="43"/>
      <c r="B235" s="41"/>
      <c r="C235" s="41"/>
      <c r="D235" s="41"/>
      <c r="E235" s="41"/>
      <c r="F235" s="41"/>
      <c r="G235" s="41"/>
      <c r="H235" s="42"/>
      <c r="I235" s="41"/>
      <c r="J235" s="41"/>
      <c r="K235" s="41"/>
      <c r="L235" s="41">
        <f t="shared" si="1"/>
        <v>0</v>
      </c>
      <c r="M235" s="42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>
      <c r="A236" s="43"/>
      <c r="B236" s="41"/>
      <c r="C236" s="41"/>
      <c r="D236" s="41"/>
      <c r="E236" s="41"/>
      <c r="F236" s="41"/>
      <c r="G236" s="41"/>
      <c r="H236" s="42"/>
      <c r="I236" s="41"/>
      <c r="J236" s="41"/>
      <c r="K236" s="41"/>
      <c r="L236" s="41">
        <f t="shared" si="1"/>
        <v>0</v>
      </c>
      <c r="M236" s="42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>
      <c r="A237" s="43"/>
      <c r="B237" s="41"/>
      <c r="C237" s="41"/>
      <c r="D237" s="41"/>
      <c r="E237" s="41"/>
      <c r="F237" s="41"/>
      <c r="G237" s="41"/>
      <c r="H237" s="42"/>
      <c r="I237" s="41"/>
      <c r="J237" s="41"/>
      <c r="K237" s="41"/>
      <c r="L237" s="41">
        <f t="shared" si="1"/>
        <v>0</v>
      </c>
      <c r="M237" s="42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>
      <c r="A238" s="43"/>
      <c r="B238" s="41"/>
      <c r="C238" s="41"/>
      <c r="D238" s="41"/>
      <c r="E238" s="41"/>
      <c r="F238" s="41"/>
      <c r="G238" s="41"/>
      <c r="H238" s="42"/>
      <c r="I238" s="41"/>
      <c r="J238" s="41"/>
      <c r="K238" s="41"/>
      <c r="L238" s="41">
        <f t="shared" si="1"/>
        <v>0</v>
      </c>
      <c r="M238" s="42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>
      <c r="A239" s="43"/>
      <c r="B239" s="41"/>
      <c r="C239" s="40"/>
      <c r="D239" s="40"/>
      <c r="E239" s="40"/>
      <c r="F239" s="41"/>
      <c r="G239" s="41"/>
      <c r="H239" s="42"/>
      <c r="I239" s="41"/>
      <c r="J239" s="40"/>
      <c r="K239" s="40"/>
      <c r="L239" s="41">
        <f t="shared" si="1"/>
        <v>0</v>
      </c>
      <c r="M239" s="42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>
      <c r="A240" s="43"/>
      <c r="B240" s="41"/>
      <c r="C240" s="41"/>
      <c r="D240" s="41"/>
      <c r="E240" s="41"/>
      <c r="F240" s="41"/>
      <c r="G240" s="41"/>
      <c r="H240" s="42"/>
      <c r="I240" s="41"/>
      <c r="J240" s="41"/>
      <c r="K240" s="41"/>
      <c r="L240" s="41">
        <f t="shared" si="1"/>
        <v>0</v>
      </c>
      <c r="M240" s="42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>
      <c r="A241" s="43"/>
      <c r="B241" s="41"/>
      <c r="C241" s="41"/>
      <c r="D241" s="41"/>
      <c r="E241" s="41"/>
      <c r="F241" s="41"/>
      <c r="G241" s="41"/>
      <c r="H241" s="42"/>
      <c r="I241" s="41"/>
      <c r="J241" s="41"/>
      <c r="K241" s="41"/>
      <c r="L241" s="41">
        <f t="shared" si="1"/>
        <v>0</v>
      </c>
      <c r="M241" s="42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>
      <c r="A242" s="43"/>
      <c r="B242" s="41"/>
      <c r="C242" s="40"/>
      <c r="D242" s="40"/>
      <c r="E242" s="40"/>
      <c r="F242" s="41"/>
      <c r="G242" s="41"/>
      <c r="H242" s="42"/>
      <c r="I242" s="40"/>
      <c r="J242" s="40"/>
      <c r="K242" s="40"/>
      <c r="L242" s="40">
        <f t="shared" si="1"/>
        <v>0</v>
      </c>
      <c r="M242" s="42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>
      <c r="A243" s="43"/>
      <c r="B243" s="41"/>
      <c r="C243" s="41"/>
      <c r="D243" s="41"/>
      <c r="E243" s="41"/>
      <c r="F243" s="41"/>
      <c r="G243" s="41"/>
      <c r="H243" s="42"/>
      <c r="I243" s="41"/>
      <c r="J243" s="41"/>
      <c r="K243" s="41"/>
      <c r="L243" s="41">
        <f t="shared" si="1"/>
        <v>0</v>
      </c>
      <c r="M243" s="42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>
      <c r="A244" s="43"/>
      <c r="B244" s="41"/>
      <c r="C244" s="40"/>
      <c r="D244" s="40"/>
      <c r="E244" s="40"/>
      <c r="F244" s="41"/>
      <c r="G244" s="41"/>
      <c r="H244" s="42"/>
      <c r="I244" s="41"/>
      <c r="J244" s="40"/>
      <c r="K244" s="40"/>
      <c r="L244" s="41">
        <f t="shared" si="1"/>
        <v>0</v>
      </c>
      <c r="M244" s="42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>
      <c r="A245" s="43"/>
      <c r="B245" s="41"/>
      <c r="C245" s="41"/>
      <c r="D245" s="41"/>
      <c r="E245" s="41"/>
      <c r="F245" s="41"/>
      <c r="G245" s="41"/>
      <c r="H245" s="42"/>
      <c r="I245" s="41"/>
      <c r="J245" s="41"/>
      <c r="K245" s="41"/>
      <c r="L245" s="41">
        <f t="shared" si="1"/>
        <v>0</v>
      </c>
      <c r="M245" s="42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>
      <c r="A246" s="43"/>
      <c r="B246" s="41"/>
      <c r="C246" s="41"/>
      <c r="D246" s="41"/>
      <c r="E246" s="41"/>
      <c r="F246" s="41"/>
      <c r="G246" s="41"/>
      <c r="H246" s="42"/>
      <c r="I246" s="41"/>
      <c r="J246" s="41"/>
      <c r="K246" s="41"/>
      <c r="L246" s="41">
        <f t="shared" si="1"/>
        <v>0</v>
      </c>
      <c r="M246" s="42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>
      <c r="A247" s="43"/>
      <c r="B247" s="41"/>
      <c r="C247" s="41"/>
      <c r="D247" s="41"/>
      <c r="E247" s="41"/>
      <c r="F247" s="41"/>
      <c r="G247" s="41"/>
      <c r="H247" s="42"/>
      <c r="I247" s="41"/>
      <c r="J247" s="41"/>
      <c r="K247" s="41"/>
      <c r="L247" s="41">
        <f t="shared" si="1"/>
        <v>0</v>
      </c>
      <c r="M247" s="42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>
      <c r="A248" s="43"/>
      <c r="B248" s="41"/>
      <c r="C248" s="41"/>
      <c r="D248" s="41"/>
      <c r="E248" s="41"/>
      <c r="F248" s="41"/>
      <c r="G248" s="41"/>
      <c r="H248" s="42"/>
      <c r="I248" s="41"/>
      <c r="J248" s="41"/>
      <c r="K248" s="41"/>
      <c r="L248" s="41">
        <f t="shared" si="1"/>
        <v>0</v>
      </c>
      <c r="M248" s="42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>
      <c r="A249" s="43"/>
      <c r="B249" s="41"/>
      <c r="C249" s="41"/>
      <c r="D249" s="41"/>
      <c r="E249" s="41"/>
      <c r="F249" s="41"/>
      <c r="G249" s="41"/>
      <c r="H249" s="42"/>
      <c r="I249" s="41"/>
      <c r="J249" s="41"/>
      <c r="K249" s="41"/>
      <c r="L249" s="41">
        <f t="shared" si="1"/>
        <v>0</v>
      </c>
      <c r="M249" s="42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>
      <c r="A250" s="43"/>
      <c r="B250" s="41"/>
      <c r="C250" s="41"/>
      <c r="D250" s="41"/>
      <c r="E250" s="41"/>
      <c r="F250" s="41"/>
      <c r="G250" s="41"/>
      <c r="H250" s="42"/>
      <c r="I250" s="41"/>
      <c r="J250" s="41"/>
      <c r="K250" s="41"/>
      <c r="L250" s="41">
        <f t="shared" si="1"/>
        <v>0</v>
      </c>
      <c r="M250" s="42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>
      <c r="A251" s="43"/>
      <c r="B251" s="41"/>
      <c r="C251" s="41"/>
      <c r="D251" s="41"/>
      <c r="E251" s="41"/>
      <c r="F251" s="41"/>
      <c r="G251" s="41"/>
      <c r="H251" s="42"/>
      <c r="I251" s="41"/>
      <c r="J251" s="41"/>
      <c r="K251" s="41"/>
      <c r="L251" s="41">
        <f t="shared" si="1"/>
        <v>0</v>
      </c>
      <c r="M251" s="42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>
      <c r="A252" s="43"/>
      <c r="B252" s="41"/>
      <c r="C252" s="41"/>
      <c r="D252" s="41"/>
      <c r="E252" s="41"/>
      <c r="F252" s="41"/>
      <c r="G252" s="41"/>
      <c r="H252" s="42"/>
      <c r="I252" s="41"/>
      <c r="J252" s="41"/>
      <c r="K252" s="41"/>
      <c r="L252" s="41">
        <f t="shared" si="1"/>
        <v>0</v>
      </c>
      <c r="M252" s="42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>
      <c r="A253" s="43"/>
      <c r="B253" s="41"/>
      <c r="C253" s="41"/>
      <c r="D253" s="41"/>
      <c r="E253" s="41"/>
      <c r="F253" s="41"/>
      <c r="G253" s="41"/>
      <c r="H253" s="42"/>
      <c r="I253" s="41"/>
      <c r="J253" s="41"/>
      <c r="K253" s="41"/>
      <c r="L253" s="41">
        <f t="shared" si="1"/>
        <v>0</v>
      </c>
      <c r="M253" s="42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>
      <c r="A254" s="43"/>
      <c r="B254" s="41"/>
      <c r="C254" s="41"/>
      <c r="D254" s="41"/>
      <c r="E254" s="41"/>
      <c r="F254" s="41"/>
      <c r="G254" s="41"/>
      <c r="H254" s="42"/>
      <c r="I254" s="41"/>
      <c r="J254" s="41"/>
      <c r="K254" s="41"/>
      <c r="L254" s="41">
        <f t="shared" si="1"/>
        <v>0</v>
      </c>
      <c r="M254" s="42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>
      <c r="A255" s="43"/>
      <c r="B255" s="41"/>
      <c r="C255" s="41"/>
      <c r="D255" s="41"/>
      <c r="E255" s="41"/>
      <c r="F255" s="41"/>
      <c r="G255" s="41"/>
      <c r="H255" s="42"/>
      <c r="I255" s="41"/>
      <c r="J255" s="41"/>
      <c r="K255" s="41"/>
      <c r="L255" s="41">
        <f t="shared" si="1"/>
        <v>0</v>
      </c>
      <c r="M255" s="42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>
      <c r="A256" s="43"/>
      <c r="B256" s="41"/>
      <c r="C256" s="41"/>
      <c r="D256" s="41"/>
      <c r="E256" s="41"/>
      <c r="F256" s="41"/>
      <c r="G256" s="41"/>
      <c r="H256" s="42"/>
      <c r="I256" s="41"/>
      <c r="J256" s="41"/>
      <c r="K256" s="41"/>
      <c r="L256" s="41">
        <f t="shared" si="1"/>
        <v>0</v>
      </c>
      <c r="M256" s="42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>
      <c r="A257" s="43"/>
      <c r="B257" s="41"/>
      <c r="C257" s="41"/>
      <c r="D257" s="41"/>
      <c r="E257" s="41"/>
      <c r="F257" s="41"/>
      <c r="G257" s="41"/>
      <c r="H257" s="42"/>
      <c r="I257" s="41"/>
      <c r="J257" s="41"/>
      <c r="K257" s="41"/>
      <c r="L257" s="41">
        <f t="shared" si="1"/>
        <v>0</v>
      </c>
      <c r="M257" s="42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>
      <c r="A258" s="43"/>
      <c r="B258" s="41"/>
      <c r="C258" s="41"/>
      <c r="D258" s="41"/>
      <c r="E258" s="41"/>
      <c r="F258" s="41"/>
      <c r="G258" s="41"/>
      <c r="H258" s="42"/>
      <c r="I258" s="41"/>
      <c r="J258" s="41"/>
      <c r="K258" s="41"/>
      <c r="L258" s="41">
        <f t="shared" si="1"/>
        <v>0</v>
      </c>
      <c r="M258" s="42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>
      <c r="A259" s="43"/>
      <c r="B259" s="41"/>
      <c r="C259" s="41"/>
      <c r="D259" s="41"/>
      <c r="E259" s="41"/>
      <c r="F259" s="41"/>
      <c r="G259" s="41"/>
      <c r="H259" s="42"/>
      <c r="I259" s="41"/>
      <c r="J259" s="41"/>
      <c r="K259" s="41"/>
      <c r="L259" s="41">
        <f t="shared" si="1"/>
        <v>0</v>
      </c>
      <c r="M259" s="42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>
      <c r="A260" s="43"/>
      <c r="B260" s="41"/>
      <c r="C260" s="41"/>
      <c r="D260" s="41"/>
      <c r="E260" s="41"/>
      <c r="F260" s="41"/>
      <c r="G260" s="41"/>
      <c r="H260" s="42"/>
      <c r="I260" s="41"/>
      <c r="J260" s="41"/>
      <c r="K260" s="41"/>
      <c r="L260" s="41">
        <f t="shared" si="1"/>
        <v>0</v>
      </c>
      <c r="M260" s="42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>
      <c r="A261" s="43"/>
      <c r="B261" s="41"/>
      <c r="C261" s="41"/>
      <c r="D261" s="41"/>
      <c r="E261" s="41"/>
      <c r="F261" s="41"/>
      <c r="G261" s="41"/>
      <c r="H261" s="42"/>
      <c r="I261" s="41"/>
      <c r="J261" s="41"/>
      <c r="K261" s="41"/>
      <c r="L261" s="41">
        <f t="shared" si="1"/>
        <v>0</v>
      </c>
      <c r="M261" s="42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>
      <c r="A262" s="43"/>
      <c r="B262" s="41"/>
      <c r="C262" s="41"/>
      <c r="D262" s="41"/>
      <c r="E262" s="41"/>
      <c r="F262" s="41"/>
      <c r="G262" s="41"/>
      <c r="H262" s="42"/>
      <c r="I262" s="41"/>
      <c r="J262" s="41"/>
      <c r="K262" s="41"/>
      <c r="L262" s="41">
        <f t="shared" si="1"/>
        <v>0</v>
      </c>
      <c r="M262" s="42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>
      <c r="A263" s="43"/>
      <c r="B263" s="41"/>
      <c r="C263" s="41"/>
      <c r="D263" s="41"/>
      <c r="E263" s="41"/>
      <c r="F263" s="41"/>
      <c r="G263" s="41"/>
      <c r="H263" s="42"/>
      <c r="I263" s="41"/>
      <c r="J263" s="41"/>
      <c r="K263" s="41"/>
      <c r="L263" s="41">
        <f t="shared" si="1"/>
        <v>0</v>
      </c>
      <c r="M263" s="42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>
      <c r="A264" s="43"/>
      <c r="B264" s="41"/>
      <c r="C264" s="41"/>
      <c r="D264" s="41"/>
      <c r="E264" s="41"/>
      <c r="F264" s="41"/>
      <c r="G264" s="41"/>
      <c r="H264" s="42"/>
      <c r="I264" s="41"/>
      <c r="J264" s="41"/>
      <c r="K264" s="41"/>
      <c r="L264" s="41">
        <f t="shared" si="1"/>
        <v>0</v>
      </c>
      <c r="M264" s="42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>
      <c r="A265" s="43"/>
      <c r="B265" s="41"/>
      <c r="C265" s="41"/>
      <c r="D265" s="41"/>
      <c r="E265" s="41"/>
      <c r="F265" s="41"/>
      <c r="G265" s="41"/>
      <c r="H265" s="42"/>
      <c r="I265" s="41"/>
      <c r="J265" s="41"/>
      <c r="K265" s="41"/>
      <c r="L265" s="41">
        <f t="shared" si="1"/>
        <v>0</v>
      </c>
      <c r="M265" s="42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>
      <c r="A266" s="43"/>
      <c r="B266" s="41"/>
      <c r="C266" s="41"/>
      <c r="D266" s="41"/>
      <c r="E266" s="41"/>
      <c r="F266" s="41"/>
      <c r="G266" s="41"/>
      <c r="H266" s="42"/>
      <c r="I266" s="41"/>
      <c r="J266" s="41"/>
      <c r="K266" s="41"/>
      <c r="L266" s="41">
        <f t="shared" si="1"/>
        <v>0</v>
      </c>
      <c r="M266" s="42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>
      <c r="A267" s="43"/>
      <c r="B267" s="41"/>
      <c r="C267" s="41"/>
      <c r="D267" s="41"/>
      <c r="E267" s="41"/>
      <c r="F267" s="41"/>
      <c r="G267" s="41"/>
      <c r="H267" s="42"/>
      <c r="I267" s="41"/>
      <c r="J267" s="41"/>
      <c r="K267" s="41"/>
      <c r="L267" s="41">
        <f t="shared" si="1"/>
        <v>0</v>
      </c>
      <c r="M267" s="42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>
      <c r="A268" s="43"/>
      <c r="B268" s="41"/>
      <c r="C268" s="41"/>
      <c r="D268" s="41"/>
      <c r="E268" s="41"/>
      <c r="F268" s="41"/>
      <c r="G268" s="41"/>
      <c r="H268" s="42"/>
      <c r="I268" s="41"/>
      <c r="J268" s="41"/>
      <c r="K268" s="41"/>
      <c r="L268" s="41">
        <f t="shared" si="1"/>
        <v>0</v>
      </c>
      <c r="M268" s="42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>
      <c r="A269" s="43"/>
      <c r="B269" s="41"/>
      <c r="C269" s="41"/>
      <c r="D269" s="41"/>
      <c r="E269" s="41"/>
      <c r="F269" s="41"/>
      <c r="G269" s="41"/>
      <c r="H269" s="42"/>
      <c r="I269" s="41"/>
      <c r="J269" s="41"/>
      <c r="K269" s="41"/>
      <c r="L269" s="41">
        <f t="shared" si="1"/>
        <v>0</v>
      </c>
      <c r="M269" s="42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>
      <c r="A270" s="43"/>
      <c r="B270" s="41"/>
      <c r="C270" s="41"/>
      <c r="D270" s="41"/>
      <c r="E270" s="41"/>
      <c r="F270" s="41"/>
      <c r="G270" s="41"/>
      <c r="H270" s="42"/>
      <c r="I270" s="41"/>
      <c r="J270" s="41"/>
      <c r="K270" s="41"/>
      <c r="L270" s="41">
        <f t="shared" si="1"/>
        <v>0</v>
      </c>
      <c r="M270" s="42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>
      <c r="A271" s="43"/>
      <c r="B271" s="41"/>
      <c r="C271" s="41"/>
      <c r="D271" s="41"/>
      <c r="E271" s="41"/>
      <c r="F271" s="41"/>
      <c r="G271" s="41"/>
      <c r="H271" s="42"/>
      <c r="I271" s="41"/>
      <c r="J271" s="41"/>
      <c r="K271" s="41"/>
      <c r="L271" s="41">
        <f t="shared" si="1"/>
        <v>0</v>
      </c>
      <c r="M271" s="42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>
      <c r="A272" s="43"/>
      <c r="B272" s="41"/>
      <c r="C272" s="41"/>
      <c r="D272" s="41"/>
      <c r="E272" s="41"/>
      <c r="F272" s="41"/>
      <c r="G272" s="41"/>
      <c r="H272" s="42"/>
      <c r="I272" s="41"/>
      <c r="J272" s="41"/>
      <c r="K272" s="41"/>
      <c r="L272" s="41">
        <f t="shared" si="1"/>
        <v>0</v>
      </c>
      <c r="M272" s="42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>
      <c r="A273" s="43"/>
      <c r="B273" s="41"/>
      <c r="C273" s="40"/>
      <c r="D273" s="40"/>
      <c r="E273" s="40"/>
      <c r="F273" s="42"/>
      <c r="G273" s="42"/>
      <c r="H273" s="42"/>
      <c r="I273" s="42"/>
      <c r="J273" s="40"/>
      <c r="K273" s="40"/>
      <c r="L273" s="41">
        <f t="shared" si="1"/>
        <v>0</v>
      </c>
      <c r="M273" s="42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>
      <c r="A274" s="43"/>
      <c r="B274" s="41"/>
      <c r="C274" s="41"/>
      <c r="D274" s="41"/>
      <c r="E274" s="41"/>
      <c r="F274" s="41"/>
      <c r="G274" s="41"/>
      <c r="H274" s="42"/>
      <c r="I274" s="41"/>
      <c r="J274" s="41"/>
      <c r="K274" s="41"/>
      <c r="L274" s="41">
        <f t="shared" si="1"/>
        <v>0</v>
      </c>
      <c r="M274" s="42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>
      <c r="A275" s="43"/>
      <c r="B275" s="41"/>
      <c r="C275" s="41"/>
      <c r="D275" s="41"/>
      <c r="E275" s="41"/>
      <c r="F275" s="41"/>
      <c r="G275" s="41"/>
      <c r="H275" s="42"/>
      <c r="I275" s="41"/>
      <c r="J275" s="41"/>
      <c r="K275" s="41"/>
      <c r="L275" s="41">
        <f t="shared" si="1"/>
        <v>0</v>
      </c>
      <c r="M275" s="42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>
      <c r="A276" s="43"/>
      <c r="B276" s="41"/>
      <c r="C276" s="41"/>
      <c r="D276" s="41"/>
      <c r="E276" s="41"/>
      <c r="F276" s="41"/>
      <c r="G276" s="41"/>
      <c r="H276" s="42"/>
      <c r="I276" s="41"/>
      <c r="J276" s="41"/>
      <c r="K276" s="41"/>
      <c r="L276" s="41">
        <f t="shared" si="1"/>
        <v>0</v>
      </c>
      <c r="M276" s="42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>
      <c r="A277" s="43"/>
      <c r="B277" s="41"/>
      <c r="C277" s="41"/>
      <c r="D277" s="41"/>
      <c r="E277" s="41"/>
      <c r="F277" s="41"/>
      <c r="G277" s="41"/>
      <c r="H277" s="42"/>
      <c r="I277" s="41"/>
      <c r="J277" s="41"/>
      <c r="K277" s="41"/>
      <c r="L277" s="41">
        <f t="shared" si="1"/>
        <v>0</v>
      </c>
      <c r="M277" s="42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>
      <c r="A278" s="43"/>
      <c r="B278" s="41"/>
      <c r="C278" s="41"/>
      <c r="D278" s="41"/>
      <c r="E278" s="41"/>
      <c r="F278" s="41"/>
      <c r="G278" s="41"/>
      <c r="H278" s="42"/>
      <c r="I278" s="41"/>
      <c r="J278" s="41"/>
      <c r="K278" s="41"/>
      <c r="L278" s="41">
        <f t="shared" si="1"/>
        <v>0</v>
      </c>
      <c r="M278" s="42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>
      <c r="A279" s="43"/>
      <c r="B279" s="41"/>
      <c r="C279" s="41"/>
      <c r="D279" s="41"/>
      <c r="E279" s="41"/>
      <c r="F279" s="41"/>
      <c r="G279" s="41"/>
      <c r="H279" s="42"/>
      <c r="I279" s="41"/>
      <c r="J279" s="41"/>
      <c r="K279" s="41"/>
      <c r="L279" s="41">
        <f t="shared" si="1"/>
        <v>0</v>
      </c>
      <c r="M279" s="42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>
      <c r="A280" s="43"/>
      <c r="B280" s="41"/>
      <c r="C280" s="41"/>
      <c r="D280" s="41"/>
      <c r="E280" s="41"/>
      <c r="F280" s="41"/>
      <c r="G280" s="41"/>
      <c r="H280" s="42"/>
      <c r="I280" s="41"/>
      <c r="J280" s="41"/>
      <c r="K280" s="41"/>
      <c r="L280" s="41">
        <f t="shared" si="1"/>
        <v>0</v>
      </c>
      <c r="M280" s="42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>
      <c r="A281" s="43"/>
      <c r="B281" s="41"/>
      <c r="C281" s="41"/>
      <c r="D281" s="41"/>
      <c r="E281" s="41"/>
      <c r="F281" s="41"/>
      <c r="G281" s="41"/>
      <c r="H281" s="42"/>
      <c r="I281" s="41"/>
      <c r="J281" s="41"/>
      <c r="K281" s="41"/>
      <c r="L281" s="41">
        <f t="shared" si="1"/>
        <v>0</v>
      </c>
      <c r="M281" s="42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>
      <c r="A282" s="43"/>
      <c r="B282" s="41"/>
      <c r="C282" s="41"/>
      <c r="D282" s="41"/>
      <c r="E282" s="41"/>
      <c r="F282" s="41"/>
      <c r="G282" s="41"/>
      <c r="H282" s="42"/>
      <c r="I282" s="41"/>
      <c r="J282" s="41"/>
      <c r="K282" s="41"/>
      <c r="L282" s="41">
        <f t="shared" si="1"/>
        <v>0</v>
      </c>
      <c r="M282" s="42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>
      <c r="A283" s="43"/>
      <c r="B283" s="41"/>
      <c r="C283" s="41"/>
      <c r="D283" s="41"/>
      <c r="E283" s="41"/>
      <c r="F283" s="41"/>
      <c r="G283" s="41"/>
      <c r="H283" s="42"/>
      <c r="I283" s="41"/>
      <c r="J283" s="41"/>
      <c r="K283" s="41"/>
      <c r="L283" s="41">
        <f t="shared" si="1"/>
        <v>0</v>
      </c>
      <c r="M283" s="42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>
      <c r="A284" s="43"/>
      <c r="B284" s="41"/>
      <c r="C284" s="41"/>
      <c r="D284" s="41"/>
      <c r="E284" s="41"/>
      <c r="F284" s="41"/>
      <c r="G284" s="41"/>
      <c r="H284" s="42"/>
      <c r="I284" s="41"/>
      <c r="J284" s="41"/>
      <c r="K284" s="41"/>
      <c r="L284" s="41">
        <f t="shared" si="1"/>
        <v>0</v>
      </c>
      <c r="M284" s="42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>
      <c r="A285" s="43"/>
      <c r="B285" s="41"/>
      <c r="C285" s="41"/>
      <c r="D285" s="41"/>
      <c r="E285" s="41"/>
      <c r="F285" s="41"/>
      <c r="G285" s="41"/>
      <c r="H285" s="42"/>
      <c r="I285" s="41"/>
      <c r="J285" s="41"/>
      <c r="K285" s="41"/>
      <c r="L285" s="41">
        <f t="shared" si="1"/>
        <v>0</v>
      </c>
      <c r="M285" s="42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>
      <c r="A286" s="43"/>
      <c r="B286" s="41"/>
      <c r="C286" s="41"/>
      <c r="D286" s="41"/>
      <c r="E286" s="41"/>
      <c r="F286" s="41"/>
      <c r="G286" s="41"/>
      <c r="H286" s="42"/>
      <c r="I286" s="41"/>
      <c r="J286" s="41"/>
      <c r="K286" s="41"/>
      <c r="L286" s="41">
        <f t="shared" si="1"/>
        <v>0</v>
      </c>
      <c r="M286" s="42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>
      <c r="A287" s="43"/>
      <c r="B287" s="41"/>
      <c r="C287" s="41"/>
      <c r="D287" s="41"/>
      <c r="E287" s="41"/>
      <c r="F287" s="41"/>
      <c r="G287" s="41"/>
      <c r="H287" s="42"/>
      <c r="I287" s="41"/>
      <c r="J287" s="41"/>
      <c r="K287" s="41"/>
      <c r="L287" s="41">
        <f t="shared" si="1"/>
        <v>0</v>
      </c>
      <c r="M287" s="42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>
      <c r="A288" s="43"/>
      <c r="B288" s="41"/>
      <c r="C288" s="41"/>
      <c r="D288" s="41"/>
      <c r="E288" s="41"/>
      <c r="F288" s="41"/>
      <c r="G288" s="41"/>
      <c r="H288" s="42"/>
      <c r="I288" s="41"/>
      <c r="J288" s="41"/>
      <c r="K288" s="41"/>
      <c r="L288" s="41">
        <f t="shared" si="1"/>
        <v>0</v>
      </c>
      <c r="M288" s="42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>
      <c r="A289" s="43"/>
      <c r="B289" s="41"/>
      <c r="C289" s="41"/>
      <c r="D289" s="41"/>
      <c r="E289" s="41"/>
      <c r="F289" s="41"/>
      <c r="G289" s="41"/>
      <c r="H289" s="42"/>
      <c r="I289" s="41"/>
      <c r="J289" s="41"/>
      <c r="K289" s="41"/>
      <c r="L289" s="41">
        <f t="shared" si="1"/>
        <v>0</v>
      </c>
      <c r="M289" s="42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>
      <c r="A290" s="43"/>
      <c r="B290" s="41"/>
      <c r="C290" s="41"/>
      <c r="D290" s="41"/>
      <c r="E290" s="41"/>
      <c r="F290" s="41"/>
      <c r="G290" s="41"/>
      <c r="H290" s="42"/>
      <c r="I290" s="41"/>
      <c r="J290" s="41"/>
      <c r="K290" s="41"/>
      <c r="L290" s="41">
        <f t="shared" si="1"/>
        <v>0</v>
      </c>
      <c r="M290" s="42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>
      <c r="A291" s="43"/>
      <c r="B291" s="41"/>
      <c r="C291" s="41"/>
      <c r="D291" s="41"/>
      <c r="E291" s="41"/>
      <c r="F291" s="41"/>
      <c r="G291" s="41"/>
      <c r="H291" s="42"/>
      <c r="I291" s="41"/>
      <c r="J291" s="41"/>
      <c r="K291" s="41"/>
      <c r="L291" s="41">
        <f t="shared" si="1"/>
        <v>0</v>
      </c>
      <c r="M291" s="42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>
      <c r="A292" s="43"/>
      <c r="B292" s="41"/>
      <c r="C292" s="41"/>
      <c r="D292" s="41"/>
      <c r="E292" s="41"/>
      <c r="F292" s="41"/>
      <c r="G292" s="41"/>
      <c r="H292" s="42"/>
      <c r="I292" s="41"/>
      <c r="J292" s="41"/>
      <c r="K292" s="41"/>
      <c r="L292" s="41">
        <f t="shared" si="1"/>
        <v>0</v>
      </c>
      <c r="M292" s="42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>
      <c r="A293" s="43"/>
      <c r="B293" s="41"/>
      <c r="C293" s="41"/>
      <c r="D293" s="41"/>
      <c r="E293" s="41"/>
      <c r="F293" s="41"/>
      <c r="G293" s="41"/>
      <c r="H293" s="42"/>
      <c r="I293" s="41"/>
      <c r="J293" s="41"/>
      <c r="K293" s="41"/>
      <c r="L293" s="41">
        <f t="shared" si="1"/>
        <v>0</v>
      </c>
      <c r="M293" s="42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>
      <c r="A294" s="43"/>
      <c r="B294" s="41"/>
      <c r="C294" s="41"/>
      <c r="D294" s="41"/>
      <c r="E294" s="41"/>
      <c r="F294" s="41"/>
      <c r="G294" s="41"/>
      <c r="H294" s="42"/>
      <c r="I294" s="41"/>
      <c r="J294" s="41"/>
      <c r="K294" s="41"/>
      <c r="L294" s="41">
        <f t="shared" si="1"/>
        <v>0</v>
      </c>
      <c r="M294" s="42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>
      <c r="A295" s="43"/>
      <c r="B295" s="41"/>
      <c r="C295" s="41"/>
      <c r="D295" s="41"/>
      <c r="E295" s="41"/>
      <c r="F295" s="41"/>
      <c r="G295" s="41"/>
      <c r="H295" s="42"/>
      <c r="I295" s="41"/>
      <c r="J295" s="41"/>
      <c r="K295" s="41"/>
      <c r="L295" s="41">
        <f t="shared" si="1"/>
        <v>0</v>
      </c>
      <c r="M295" s="42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>
      <c r="A296" s="43"/>
      <c r="B296" s="41"/>
      <c r="C296" s="40"/>
      <c r="D296" s="40"/>
      <c r="E296" s="40"/>
      <c r="F296" s="42"/>
      <c r="G296" s="42"/>
      <c r="H296" s="42"/>
      <c r="I296" s="42"/>
      <c r="J296" s="40"/>
      <c r="K296" s="40"/>
      <c r="L296" s="41">
        <f t="shared" si="1"/>
        <v>0</v>
      </c>
      <c r="M296" s="42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>
      <c r="A297" s="43"/>
      <c r="B297" s="41"/>
      <c r="C297" s="41"/>
      <c r="D297" s="41"/>
      <c r="E297" s="41"/>
      <c r="F297" s="41"/>
      <c r="G297" s="41"/>
      <c r="H297" s="42"/>
      <c r="I297" s="41"/>
      <c r="J297" s="41"/>
      <c r="K297" s="41"/>
      <c r="L297" s="41">
        <f t="shared" si="1"/>
        <v>0</v>
      </c>
      <c r="M297" s="42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>
      <c r="A298" s="43"/>
      <c r="B298" s="41"/>
      <c r="C298" s="41"/>
      <c r="D298" s="41"/>
      <c r="E298" s="41"/>
      <c r="F298" s="41"/>
      <c r="G298" s="41"/>
      <c r="H298" s="42"/>
      <c r="I298" s="41"/>
      <c r="J298" s="41"/>
      <c r="K298" s="41"/>
      <c r="L298" s="41">
        <f t="shared" si="1"/>
        <v>0</v>
      </c>
      <c r="M298" s="42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>
      <c r="A299" s="43"/>
      <c r="B299" s="41"/>
      <c r="C299" s="41"/>
      <c r="D299" s="41"/>
      <c r="E299" s="41"/>
      <c r="F299" s="41"/>
      <c r="G299" s="41"/>
      <c r="H299" s="42"/>
      <c r="I299" s="41"/>
      <c r="J299" s="41"/>
      <c r="K299" s="41"/>
      <c r="L299" s="41">
        <f t="shared" si="1"/>
        <v>0</v>
      </c>
      <c r="M299" s="42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>
      <c r="A300" s="43"/>
      <c r="B300" s="41"/>
      <c r="C300" s="41"/>
      <c r="D300" s="41"/>
      <c r="E300" s="41"/>
      <c r="F300" s="41"/>
      <c r="G300" s="41"/>
      <c r="H300" s="42"/>
      <c r="I300" s="41"/>
      <c r="J300" s="41"/>
      <c r="K300" s="41"/>
      <c r="L300" s="41">
        <f t="shared" si="1"/>
        <v>0</v>
      </c>
      <c r="M300" s="42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>
      <c r="A301" s="43"/>
      <c r="B301" s="41"/>
      <c r="C301" s="41"/>
      <c r="D301" s="41"/>
      <c r="E301" s="41"/>
      <c r="F301" s="41"/>
      <c r="G301" s="41"/>
      <c r="H301" s="42"/>
      <c r="I301" s="41"/>
      <c r="J301" s="41"/>
      <c r="K301" s="41"/>
      <c r="L301" s="41">
        <f t="shared" si="1"/>
        <v>0</v>
      </c>
      <c r="M301" s="42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>
      <c r="A302" s="43"/>
      <c r="B302" s="41"/>
      <c r="C302" s="41"/>
      <c r="D302" s="41"/>
      <c r="E302" s="41"/>
      <c r="F302" s="41"/>
      <c r="G302" s="41"/>
      <c r="H302" s="42"/>
      <c r="I302" s="41"/>
      <c r="J302" s="41"/>
      <c r="K302" s="41"/>
      <c r="L302" s="41">
        <f t="shared" si="1"/>
        <v>0</v>
      </c>
      <c r="M302" s="42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>
      <c r="A303" s="43"/>
      <c r="B303" s="41"/>
      <c r="C303" s="41"/>
      <c r="D303" s="41"/>
      <c r="E303" s="41"/>
      <c r="F303" s="41"/>
      <c r="G303" s="41"/>
      <c r="H303" s="42"/>
      <c r="I303" s="41"/>
      <c r="J303" s="41"/>
      <c r="K303" s="41"/>
      <c r="L303" s="41">
        <f t="shared" si="1"/>
        <v>0</v>
      </c>
      <c r="M303" s="42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>
      <c r="A304" s="43"/>
      <c r="B304" s="41"/>
      <c r="C304" s="41"/>
      <c r="D304" s="41"/>
      <c r="E304" s="41"/>
      <c r="F304" s="41"/>
      <c r="G304" s="41"/>
      <c r="H304" s="42"/>
      <c r="I304" s="41"/>
      <c r="J304" s="41"/>
      <c r="K304" s="41"/>
      <c r="L304" s="41">
        <f t="shared" si="1"/>
        <v>0</v>
      </c>
      <c r="M304" s="42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>
      <c r="A305" s="43"/>
      <c r="B305" s="41"/>
      <c r="C305" s="41"/>
      <c r="D305" s="41"/>
      <c r="E305" s="41"/>
      <c r="F305" s="41"/>
      <c r="G305" s="41"/>
      <c r="H305" s="42"/>
      <c r="I305" s="41"/>
      <c r="J305" s="41"/>
      <c r="K305" s="41"/>
      <c r="L305" s="41">
        <f t="shared" si="1"/>
        <v>0</v>
      </c>
      <c r="M305" s="42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>
      <c r="A306" s="43"/>
      <c r="B306" s="41"/>
      <c r="C306" s="41"/>
      <c r="D306" s="41"/>
      <c r="E306" s="41"/>
      <c r="F306" s="41"/>
      <c r="G306" s="41"/>
      <c r="H306" s="42"/>
      <c r="I306" s="41"/>
      <c r="J306" s="41"/>
      <c r="K306" s="41"/>
      <c r="L306" s="41">
        <f t="shared" si="1"/>
        <v>0</v>
      </c>
      <c r="M306" s="42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>
      <c r="A307" s="43"/>
      <c r="B307" s="41"/>
      <c r="C307" s="41"/>
      <c r="D307" s="41"/>
      <c r="E307" s="41"/>
      <c r="F307" s="41"/>
      <c r="G307" s="41"/>
      <c r="H307" s="42"/>
      <c r="I307" s="41"/>
      <c r="J307" s="41"/>
      <c r="K307" s="41"/>
      <c r="L307" s="41">
        <f t="shared" si="1"/>
        <v>0</v>
      </c>
      <c r="M307" s="42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>
      <c r="A308" s="43"/>
      <c r="B308" s="41"/>
      <c r="C308" s="41"/>
      <c r="D308" s="41"/>
      <c r="E308" s="41"/>
      <c r="F308" s="41"/>
      <c r="G308" s="41"/>
      <c r="H308" s="42"/>
      <c r="I308" s="41"/>
      <c r="J308" s="41"/>
      <c r="K308" s="41"/>
      <c r="L308" s="41">
        <f t="shared" si="1"/>
        <v>0</v>
      </c>
      <c r="M308" s="42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>
      <c r="A309" s="43"/>
      <c r="B309" s="41"/>
      <c r="C309" s="41"/>
      <c r="D309" s="41"/>
      <c r="E309" s="41"/>
      <c r="F309" s="41"/>
      <c r="G309" s="41"/>
      <c r="H309" s="42"/>
      <c r="I309" s="41"/>
      <c r="J309" s="41"/>
      <c r="K309" s="41"/>
      <c r="L309" s="41">
        <f t="shared" si="1"/>
        <v>0</v>
      </c>
      <c r="M309" s="42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>
      <c r="A310" s="43"/>
      <c r="B310" s="41"/>
      <c r="C310" s="41"/>
      <c r="D310" s="41"/>
      <c r="E310" s="41"/>
      <c r="F310" s="41"/>
      <c r="G310" s="41"/>
      <c r="H310" s="42"/>
      <c r="I310" s="41"/>
      <c r="J310" s="41"/>
      <c r="K310" s="41"/>
      <c r="L310" s="41">
        <f t="shared" si="1"/>
        <v>0</v>
      </c>
      <c r="M310" s="42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>
      <c r="A311" s="43"/>
      <c r="B311" s="41"/>
      <c r="C311" s="41"/>
      <c r="D311" s="41"/>
      <c r="E311" s="41"/>
      <c r="F311" s="41"/>
      <c r="G311" s="41"/>
      <c r="H311" s="42"/>
      <c r="I311" s="41"/>
      <c r="J311" s="41"/>
      <c r="K311" s="41"/>
      <c r="L311" s="41">
        <f t="shared" si="1"/>
        <v>0</v>
      </c>
      <c r="M311" s="42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>
      <c r="A312" s="43"/>
      <c r="B312" s="41"/>
      <c r="C312" s="41"/>
      <c r="D312" s="41"/>
      <c r="E312" s="41"/>
      <c r="F312" s="41"/>
      <c r="G312" s="41"/>
      <c r="H312" s="42"/>
      <c r="I312" s="41"/>
      <c r="J312" s="41"/>
      <c r="K312" s="41"/>
      <c r="L312" s="41">
        <f t="shared" si="1"/>
        <v>0</v>
      </c>
      <c r="M312" s="42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>
      <c r="A313" s="43"/>
      <c r="B313" s="41"/>
      <c r="C313" s="41"/>
      <c r="D313" s="41"/>
      <c r="E313" s="41"/>
      <c r="F313" s="41"/>
      <c r="G313" s="41"/>
      <c r="H313" s="42"/>
      <c r="I313" s="41"/>
      <c r="J313" s="41"/>
      <c r="K313" s="41"/>
      <c r="L313" s="41">
        <f t="shared" si="1"/>
        <v>0</v>
      </c>
      <c r="M313" s="42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>
      <c r="A314" s="43"/>
      <c r="B314" s="41"/>
      <c r="C314" s="41"/>
      <c r="D314" s="41"/>
      <c r="E314" s="41"/>
      <c r="F314" s="41"/>
      <c r="G314" s="41"/>
      <c r="H314" s="42"/>
      <c r="I314" s="41"/>
      <c r="J314" s="41"/>
      <c r="K314" s="41"/>
      <c r="L314" s="41">
        <f t="shared" si="1"/>
        <v>0</v>
      </c>
      <c r="M314" s="42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>
      <c r="A315" s="43"/>
      <c r="B315" s="41"/>
      <c r="C315" s="41"/>
      <c r="D315" s="41"/>
      <c r="E315" s="41"/>
      <c r="F315" s="41"/>
      <c r="G315" s="41"/>
      <c r="H315" s="42"/>
      <c r="I315" s="41"/>
      <c r="J315" s="41"/>
      <c r="K315" s="41"/>
      <c r="L315" s="41">
        <f t="shared" si="1"/>
        <v>0</v>
      </c>
      <c r="M315" s="42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>
      <c r="A316" s="43"/>
      <c r="B316" s="41"/>
      <c r="C316" s="41"/>
      <c r="D316" s="41"/>
      <c r="E316" s="41"/>
      <c r="F316" s="41"/>
      <c r="G316" s="41"/>
      <c r="H316" s="42"/>
      <c r="I316" s="41"/>
      <c r="J316" s="41"/>
      <c r="K316" s="41"/>
      <c r="L316" s="41">
        <f t="shared" si="1"/>
        <v>0</v>
      </c>
      <c r="M316" s="42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>
      <c r="A317" s="43"/>
      <c r="B317" s="41"/>
      <c r="C317" s="41"/>
      <c r="D317" s="41"/>
      <c r="E317" s="41"/>
      <c r="F317" s="41"/>
      <c r="G317" s="41"/>
      <c r="H317" s="42"/>
      <c r="I317" s="41"/>
      <c r="J317" s="41"/>
      <c r="K317" s="41"/>
      <c r="L317" s="41">
        <f t="shared" si="1"/>
        <v>0</v>
      </c>
      <c r="M317" s="42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>
      <c r="A318" s="43"/>
      <c r="B318" s="41"/>
      <c r="C318" s="40"/>
      <c r="D318" s="40"/>
      <c r="E318" s="40"/>
      <c r="F318" s="42"/>
      <c r="G318" s="42"/>
      <c r="H318" s="42"/>
      <c r="I318" s="42"/>
      <c r="J318" s="40"/>
      <c r="K318" s="40"/>
      <c r="L318" s="41">
        <f t="shared" si="1"/>
        <v>0</v>
      </c>
      <c r="M318" s="42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>
      <c r="A319" s="43"/>
      <c r="B319" s="41"/>
      <c r="C319" s="41"/>
      <c r="D319" s="41"/>
      <c r="E319" s="41"/>
      <c r="F319" s="41"/>
      <c r="G319" s="41"/>
      <c r="H319" s="42"/>
      <c r="I319" s="41"/>
      <c r="J319" s="41"/>
      <c r="K319" s="41"/>
      <c r="L319" s="41">
        <f t="shared" si="1"/>
        <v>0</v>
      </c>
      <c r="M319" s="42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>
      <c r="A320" s="43"/>
      <c r="B320" s="41"/>
      <c r="C320" s="41"/>
      <c r="D320" s="41"/>
      <c r="E320" s="41"/>
      <c r="F320" s="41"/>
      <c r="G320" s="41"/>
      <c r="H320" s="42"/>
      <c r="I320" s="41"/>
      <c r="J320" s="41"/>
      <c r="K320" s="41"/>
      <c r="L320" s="41">
        <f t="shared" si="1"/>
        <v>0</v>
      </c>
      <c r="M320" s="42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>
      <c r="A321" s="43"/>
      <c r="B321" s="41"/>
      <c r="C321" s="41"/>
      <c r="D321" s="41"/>
      <c r="E321" s="41"/>
      <c r="F321" s="41"/>
      <c r="G321" s="41"/>
      <c r="H321" s="42"/>
      <c r="I321" s="41"/>
      <c r="J321" s="41"/>
      <c r="K321" s="41"/>
      <c r="L321" s="41">
        <f t="shared" si="1"/>
        <v>0</v>
      </c>
      <c r="M321" s="42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>
      <c r="A322" s="43"/>
      <c r="B322" s="41"/>
      <c r="C322" s="41"/>
      <c r="D322" s="41"/>
      <c r="E322" s="41"/>
      <c r="F322" s="41"/>
      <c r="G322" s="41"/>
      <c r="H322" s="42"/>
      <c r="I322" s="41"/>
      <c r="J322" s="41"/>
      <c r="K322" s="41"/>
      <c r="L322" s="41">
        <f t="shared" si="1"/>
        <v>0</v>
      </c>
      <c r="M322" s="42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>
      <c r="A323" s="43"/>
      <c r="B323" s="41"/>
      <c r="C323" s="41"/>
      <c r="D323" s="41"/>
      <c r="E323" s="41"/>
      <c r="F323" s="41"/>
      <c r="G323" s="41"/>
      <c r="H323" s="42"/>
      <c r="I323" s="41"/>
      <c r="J323" s="41"/>
      <c r="K323" s="41"/>
      <c r="L323" s="41">
        <f t="shared" si="1"/>
        <v>0</v>
      </c>
      <c r="M323" s="42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>
      <c r="A324" s="43"/>
      <c r="B324" s="41"/>
      <c r="C324" s="41"/>
      <c r="D324" s="41"/>
      <c r="E324" s="41"/>
      <c r="F324" s="41"/>
      <c r="G324" s="41"/>
      <c r="H324" s="42"/>
      <c r="I324" s="41"/>
      <c r="J324" s="41"/>
      <c r="K324" s="41"/>
      <c r="L324" s="41">
        <f t="shared" si="1"/>
        <v>0</v>
      </c>
      <c r="M324" s="42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>
      <c r="A325" s="43"/>
      <c r="B325" s="41"/>
      <c r="C325" s="41"/>
      <c r="D325" s="41"/>
      <c r="E325" s="41"/>
      <c r="F325" s="41"/>
      <c r="G325" s="41"/>
      <c r="H325" s="42"/>
      <c r="I325" s="41"/>
      <c r="J325" s="41"/>
      <c r="K325" s="41"/>
      <c r="L325" s="41">
        <f t="shared" si="1"/>
        <v>0</v>
      </c>
      <c r="M325" s="42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>
      <c r="A326" s="43"/>
      <c r="B326" s="41"/>
      <c r="C326" s="41"/>
      <c r="D326" s="41"/>
      <c r="E326" s="41"/>
      <c r="F326" s="41"/>
      <c r="G326" s="41"/>
      <c r="H326" s="42"/>
      <c r="I326" s="41"/>
      <c r="J326" s="41"/>
      <c r="K326" s="41"/>
      <c r="L326" s="41">
        <f t="shared" si="1"/>
        <v>0</v>
      </c>
      <c r="M326" s="42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>
      <c r="A327" s="43"/>
      <c r="B327" s="41"/>
      <c r="C327" s="41"/>
      <c r="D327" s="41"/>
      <c r="E327" s="41"/>
      <c r="F327" s="41"/>
      <c r="G327" s="41"/>
      <c r="H327" s="42"/>
      <c r="I327" s="41"/>
      <c r="J327" s="41"/>
      <c r="K327" s="41"/>
      <c r="L327" s="41">
        <f t="shared" si="1"/>
        <v>0</v>
      </c>
      <c r="M327" s="42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>
      <c r="A328" s="43"/>
      <c r="B328" s="41"/>
      <c r="C328" s="41"/>
      <c r="D328" s="41"/>
      <c r="E328" s="41"/>
      <c r="F328" s="41"/>
      <c r="G328" s="41"/>
      <c r="H328" s="42"/>
      <c r="I328" s="41"/>
      <c r="J328" s="41"/>
      <c r="K328" s="41"/>
      <c r="L328" s="41">
        <f t="shared" si="1"/>
        <v>0</v>
      </c>
      <c r="M328" s="42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>
      <c r="A329" s="43"/>
      <c r="B329" s="41"/>
      <c r="C329" s="41"/>
      <c r="D329" s="41"/>
      <c r="E329" s="41"/>
      <c r="F329" s="41"/>
      <c r="G329" s="41"/>
      <c r="H329" s="42"/>
      <c r="I329" s="41"/>
      <c r="J329" s="41"/>
      <c r="K329" s="41"/>
      <c r="L329" s="41">
        <f t="shared" si="1"/>
        <v>0</v>
      </c>
      <c r="M329" s="42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>
      <c r="A330" s="43"/>
      <c r="B330" s="41"/>
      <c r="C330" s="41"/>
      <c r="D330" s="41"/>
      <c r="E330" s="41"/>
      <c r="F330" s="41"/>
      <c r="G330" s="41"/>
      <c r="H330" s="42"/>
      <c r="I330" s="41"/>
      <c r="J330" s="41"/>
      <c r="K330" s="41"/>
      <c r="L330" s="41">
        <f t="shared" si="1"/>
        <v>0</v>
      </c>
      <c r="M330" s="42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>
      <c r="A331" s="43"/>
      <c r="B331" s="41"/>
      <c r="C331" s="41"/>
      <c r="D331" s="41"/>
      <c r="E331" s="41"/>
      <c r="F331" s="41"/>
      <c r="G331" s="41"/>
      <c r="H331" s="42"/>
      <c r="I331" s="41"/>
      <c r="J331" s="41"/>
      <c r="K331" s="41"/>
      <c r="L331" s="41">
        <f t="shared" si="1"/>
        <v>0</v>
      </c>
      <c r="M331" s="42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>
      <c r="A332" s="43"/>
      <c r="B332" s="41"/>
      <c r="C332" s="41"/>
      <c r="D332" s="41"/>
      <c r="E332" s="41"/>
      <c r="F332" s="41"/>
      <c r="G332" s="41"/>
      <c r="H332" s="42"/>
      <c r="I332" s="41"/>
      <c r="J332" s="41"/>
      <c r="K332" s="41"/>
      <c r="L332" s="41">
        <f t="shared" si="1"/>
        <v>0</v>
      </c>
      <c r="M332" s="42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>
      <c r="A333" s="43"/>
      <c r="B333" s="41"/>
      <c r="C333" s="41"/>
      <c r="D333" s="41"/>
      <c r="E333" s="41"/>
      <c r="F333" s="41"/>
      <c r="G333" s="41"/>
      <c r="H333" s="42"/>
      <c r="I333" s="41"/>
      <c r="J333" s="41"/>
      <c r="K333" s="41"/>
      <c r="L333" s="41">
        <f t="shared" si="1"/>
        <v>0</v>
      </c>
      <c r="M333" s="42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>
      <c r="A334" s="43"/>
      <c r="B334" s="41"/>
      <c r="C334" s="41"/>
      <c r="D334" s="41"/>
      <c r="E334" s="41"/>
      <c r="F334" s="41"/>
      <c r="G334" s="41"/>
      <c r="H334" s="42"/>
      <c r="I334" s="41"/>
      <c r="J334" s="41"/>
      <c r="K334" s="41"/>
      <c r="L334" s="41">
        <f t="shared" si="1"/>
        <v>0</v>
      </c>
      <c r="M334" s="42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>
      <c r="A335" s="43"/>
      <c r="B335" s="41"/>
      <c r="C335" s="41"/>
      <c r="D335" s="41"/>
      <c r="E335" s="41"/>
      <c r="F335" s="41"/>
      <c r="G335" s="41"/>
      <c r="H335" s="42"/>
      <c r="I335" s="41"/>
      <c r="J335" s="41"/>
      <c r="K335" s="41"/>
      <c r="L335" s="41">
        <f t="shared" si="1"/>
        <v>0</v>
      </c>
      <c r="M335" s="42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>
      <c r="A336" s="43"/>
      <c r="B336" s="41"/>
      <c r="C336" s="41"/>
      <c r="D336" s="41"/>
      <c r="E336" s="41"/>
      <c r="F336" s="41"/>
      <c r="G336" s="41"/>
      <c r="H336" s="42"/>
      <c r="I336" s="41"/>
      <c r="J336" s="41"/>
      <c r="K336" s="41"/>
      <c r="L336" s="41">
        <f t="shared" si="1"/>
        <v>0</v>
      </c>
      <c r="M336" s="42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>
      <c r="A337" s="43"/>
      <c r="B337" s="41"/>
      <c r="C337" s="41"/>
      <c r="D337" s="41"/>
      <c r="E337" s="41"/>
      <c r="F337" s="41"/>
      <c r="G337" s="41"/>
      <c r="H337" s="42"/>
      <c r="I337" s="41"/>
      <c r="J337" s="41"/>
      <c r="K337" s="41"/>
      <c r="L337" s="41">
        <f t="shared" si="1"/>
        <v>0</v>
      </c>
      <c r="M337" s="42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>
      <c r="A338" s="43"/>
      <c r="B338" s="41"/>
      <c r="C338" s="41"/>
      <c r="D338" s="41"/>
      <c r="E338" s="41"/>
      <c r="F338" s="41"/>
      <c r="G338" s="41"/>
      <c r="H338" s="42"/>
      <c r="I338" s="41"/>
      <c r="J338" s="41"/>
      <c r="K338" s="41"/>
      <c r="L338" s="41">
        <f t="shared" si="1"/>
        <v>0</v>
      </c>
      <c r="M338" s="42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>
      <c r="A339" s="43"/>
      <c r="B339" s="41"/>
      <c r="C339" s="41"/>
      <c r="D339" s="41"/>
      <c r="E339" s="41"/>
      <c r="F339" s="41"/>
      <c r="G339" s="41"/>
      <c r="H339" s="42"/>
      <c r="I339" s="41"/>
      <c r="J339" s="41"/>
      <c r="K339" s="41"/>
      <c r="L339" s="41">
        <f t="shared" si="1"/>
        <v>0</v>
      </c>
      <c r="M339" s="42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>
      <c r="A340" s="43"/>
      <c r="B340" s="41"/>
      <c r="C340" s="40"/>
      <c r="D340" s="40"/>
      <c r="E340" s="40"/>
      <c r="F340" s="42"/>
      <c r="G340" s="42"/>
      <c r="H340" s="42"/>
      <c r="I340" s="42"/>
      <c r="J340" s="40"/>
      <c r="K340" s="40"/>
      <c r="L340" s="41">
        <f t="shared" si="1"/>
        <v>0</v>
      </c>
      <c r="M340" s="42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>
      <c r="A341" s="43"/>
      <c r="B341" s="41"/>
      <c r="C341" s="41"/>
      <c r="D341" s="41"/>
      <c r="E341" s="41"/>
      <c r="F341" s="41"/>
      <c r="G341" s="41"/>
      <c r="H341" s="42"/>
      <c r="I341" s="41"/>
      <c r="J341" s="41"/>
      <c r="K341" s="41"/>
      <c r="L341" s="41">
        <f t="shared" si="1"/>
        <v>0</v>
      </c>
      <c r="M341" s="42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>
      <c r="A342" s="43"/>
      <c r="B342" s="41"/>
      <c r="C342" s="41"/>
      <c r="D342" s="41"/>
      <c r="E342" s="41"/>
      <c r="F342" s="41"/>
      <c r="G342" s="41"/>
      <c r="H342" s="42"/>
      <c r="I342" s="41"/>
      <c r="J342" s="41"/>
      <c r="K342" s="41"/>
      <c r="L342" s="41">
        <f t="shared" si="1"/>
        <v>0</v>
      </c>
      <c r="M342" s="42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>
      <c r="A343" s="43"/>
      <c r="B343" s="41"/>
      <c r="C343" s="41"/>
      <c r="D343" s="41"/>
      <c r="E343" s="41"/>
      <c r="F343" s="41"/>
      <c r="G343" s="41"/>
      <c r="H343" s="42"/>
      <c r="I343" s="41"/>
      <c r="J343" s="41"/>
      <c r="K343" s="41"/>
      <c r="L343" s="41">
        <f t="shared" si="1"/>
        <v>0</v>
      </c>
      <c r="M343" s="42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>
      <c r="A344" s="43"/>
      <c r="B344" s="41"/>
      <c r="C344" s="41"/>
      <c r="D344" s="41"/>
      <c r="E344" s="41"/>
      <c r="F344" s="41"/>
      <c r="G344" s="41"/>
      <c r="H344" s="42"/>
      <c r="I344" s="41"/>
      <c r="J344" s="41"/>
      <c r="K344" s="41"/>
      <c r="L344" s="41">
        <f t="shared" si="1"/>
        <v>0</v>
      </c>
      <c r="M344" s="42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>
      <c r="A345" s="43"/>
      <c r="B345" s="41"/>
      <c r="C345" s="41"/>
      <c r="D345" s="41"/>
      <c r="E345" s="41"/>
      <c r="F345" s="41"/>
      <c r="G345" s="41"/>
      <c r="H345" s="42"/>
      <c r="I345" s="41"/>
      <c r="J345" s="41"/>
      <c r="K345" s="41"/>
      <c r="L345" s="41">
        <f t="shared" si="1"/>
        <v>0</v>
      </c>
      <c r="M345" s="42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>
      <c r="A346" s="43"/>
      <c r="B346" s="41"/>
      <c r="C346" s="41"/>
      <c r="D346" s="41"/>
      <c r="E346" s="41"/>
      <c r="F346" s="41"/>
      <c r="G346" s="41"/>
      <c r="H346" s="42"/>
      <c r="I346" s="41"/>
      <c r="J346" s="41"/>
      <c r="K346" s="41"/>
      <c r="L346" s="41">
        <f t="shared" si="1"/>
        <v>0</v>
      </c>
      <c r="M346" s="42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>
      <c r="A347" s="43"/>
      <c r="B347" s="41"/>
      <c r="C347" s="41"/>
      <c r="D347" s="41"/>
      <c r="E347" s="41"/>
      <c r="F347" s="41"/>
      <c r="G347" s="41"/>
      <c r="H347" s="42"/>
      <c r="I347" s="41"/>
      <c r="J347" s="41"/>
      <c r="K347" s="41"/>
      <c r="L347" s="41">
        <f t="shared" si="1"/>
        <v>0</v>
      </c>
      <c r="M347" s="42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>
      <c r="A348" s="43"/>
      <c r="B348" s="41"/>
      <c r="C348" s="41"/>
      <c r="D348" s="41"/>
      <c r="E348" s="41"/>
      <c r="F348" s="41"/>
      <c r="G348" s="41"/>
      <c r="H348" s="42"/>
      <c r="I348" s="41"/>
      <c r="J348" s="41"/>
      <c r="K348" s="41"/>
      <c r="L348" s="41">
        <f t="shared" si="1"/>
        <v>0</v>
      </c>
      <c r="M348" s="42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>
      <c r="A349" s="43"/>
      <c r="B349" s="41"/>
      <c r="C349" s="41"/>
      <c r="D349" s="41"/>
      <c r="E349" s="41"/>
      <c r="F349" s="41"/>
      <c r="G349" s="41"/>
      <c r="H349" s="42"/>
      <c r="I349" s="41"/>
      <c r="J349" s="41"/>
      <c r="K349" s="41"/>
      <c r="L349" s="41">
        <f t="shared" si="1"/>
        <v>0</v>
      </c>
      <c r="M349" s="42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>
      <c r="A350" s="43"/>
      <c r="B350" s="41"/>
      <c r="C350" s="41"/>
      <c r="D350" s="41"/>
      <c r="E350" s="41"/>
      <c r="F350" s="41"/>
      <c r="G350" s="41"/>
      <c r="H350" s="42"/>
      <c r="I350" s="41"/>
      <c r="J350" s="41"/>
      <c r="K350" s="41"/>
      <c r="L350" s="41">
        <f t="shared" si="1"/>
        <v>0</v>
      </c>
      <c r="M350" s="42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>
      <c r="A351" s="43"/>
      <c r="B351" s="41"/>
      <c r="C351" s="41"/>
      <c r="D351" s="41"/>
      <c r="E351" s="41"/>
      <c r="F351" s="41"/>
      <c r="G351" s="41"/>
      <c r="H351" s="42"/>
      <c r="I351" s="41"/>
      <c r="J351" s="41"/>
      <c r="K351" s="41"/>
      <c r="L351" s="41">
        <f t="shared" si="1"/>
        <v>0</v>
      </c>
      <c r="M351" s="42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>
      <c r="A352" s="43"/>
      <c r="B352" s="41"/>
      <c r="C352" s="41"/>
      <c r="D352" s="41"/>
      <c r="E352" s="41"/>
      <c r="F352" s="41"/>
      <c r="G352" s="41"/>
      <c r="H352" s="42"/>
      <c r="I352" s="41"/>
      <c r="J352" s="41"/>
      <c r="K352" s="41"/>
      <c r="L352" s="41">
        <f t="shared" si="1"/>
        <v>0</v>
      </c>
      <c r="M352" s="42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>
      <c r="A353" s="43"/>
      <c r="B353" s="41"/>
      <c r="C353" s="41"/>
      <c r="D353" s="41"/>
      <c r="E353" s="41"/>
      <c r="F353" s="41"/>
      <c r="G353" s="41"/>
      <c r="H353" s="42"/>
      <c r="I353" s="41"/>
      <c r="J353" s="41"/>
      <c r="K353" s="41"/>
      <c r="L353" s="41">
        <f t="shared" si="1"/>
        <v>0</v>
      </c>
      <c r="M353" s="42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>
      <c r="A354" s="43"/>
      <c r="B354" s="41"/>
      <c r="C354" s="41"/>
      <c r="D354" s="41"/>
      <c r="E354" s="41"/>
      <c r="F354" s="41"/>
      <c r="G354" s="41"/>
      <c r="H354" s="42"/>
      <c r="I354" s="41"/>
      <c r="J354" s="41"/>
      <c r="K354" s="41"/>
      <c r="L354" s="41">
        <f t="shared" si="1"/>
        <v>0</v>
      </c>
      <c r="M354" s="42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>
      <c r="A355" s="43"/>
      <c r="B355" s="41"/>
      <c r="C355" s="41"/>
      <c r="D355" s="41"/>
      <c r="E355" s="41"/>
      <c r="F355" s="41"/>
      <c r="G355" s="41"/>
      <c r="H355" s="42"/>
      <c r="I355" s="41"/>
      <c r="J355" s="41"/>
      <c r="K355" s="41"/>
      <c r="L355" s="41">
        <f t="shared" si="1"/>
        <v>0</v>
      </c>
      <c r="M355" s="42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>
      <c r="A356" s="43"/>
      <c r="B356" s="41"/>
      <c r="C356" s="41"/>
      <c r="D356" s="41"/>
      <c r="E356" s="41"/>
      <c r="F356" s="41"/>
      <c r="G356" s="41"/>
      <c r="H356" s="42"/>
      <c r="I356" s="41"/>
      <c r="J356" s="41"/>
      <c r="K356" s="41"/>
      <c r="L356" s="41">
        <f t="shared" si="1"/>
        <v>0</v>
      </c>
      <c r="M356" s="42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>
      <c r="A357" s="43"/>
      <c r="B357" s="41"/>
      <c r="C357" s="41"/>
      <c r="D357" s="41"/>
      <c r="E357" s="41"/>
      <c r="F357" s="41"/>
      <c r="G357" s="41"/>
      <c r="H357" s="42"/>
      <c r="I357" s="41"/>
      <c r="J357" s="41"/>
      <c r="K357" s="41"/>
      <c r="L357" s="41">
        <f t="shared" si="1"/>
        <v>0</v>
      </c>
      <c r="M357" s="42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>
      <c r="A358" s="43"/>
      <c r="B358" s="41"/>
      <c r="C358" s="41"/>
      <c r="D358" s="41"/>
      <c r="E358" s="41"/>
      <c r="F358" s="41"/>
      <c r="G358" s="41"/>
      <c r="H358" s="42"/>
      <c r="I358" s="41"/>
      <c r="J358" s="41"/>
      <c r="K358" s="41"/>
      <c r="L358" s="41">
        <f t="shared" si="1"/>
        <v>0</v>
      </c>
      <c r="M358" s="42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>
      <c r="A359" s="43"/>
      <c r="B359" s="41"/>
      <c r="C359" s="41"/>
      <c r="D359" s="41"/>
      <c r="E359" s="41"/>
      <c r="F359" s="41"/>
      <c r="G359" s="41"/>
      <c r="H359" s="42"/>
      <c r="I359" s="41"/>
      <c r="J359" s="41"/>
      <c r="K359" s="41"/>
      <c r="L359" s="41">
        <f t="shared" si="1"/>
        <v>0</v>
      </c>
      <c r="M359" s="42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>
      <c r="A360" s="43"/>
      <c r="B360" s="41"/>
      <c r="C360" s="41"/>
      <c r="D360" s="41"/>
      <c r="E360" s="41"/>
      <c r="F360" s="41"/>
      <c r="G360" s="41"/>
      <c r="H360" s="42"/>
      <c r="I360" s="41"/>
      <c r="J360" s="41"/>
      <c r="K360" s="41"/>
      <c r="L360" s="41">
        <f t="shared" si="1"/>
        <v>0</v>
      </c>
      <c r="M360" s="42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>
      <c r="A361" s="43"/>
      <c r="B361" s="41"/>
      <c r="C361" s="41"/>
      <c r="D361" s="41"/>
      <c r="E361" s="41"/>
      <c r="F361" s="41"/>
      <c r="G361" s="41"/>
      <c r="H361" s="42"/>
      <c r="I361" s="41"/>
      <c r="J361" s="41"/>
      <c r="K361" s="41"/>
      <c r="L361" s="41">
        <f t="shared" si="1"/>
        <v>0</v>
      </c>
      <c r="M361" s="42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>
      <c r="A362" s="43"/>
      <c r="B362" s="41"/>
      <c r="C362" s="40"/>
      <c r="D362" s="40"/>
      <c r="E362" s="40"/>
      <c r="F362" s="42"/>
      <c r="G362" s="42"/>
      <c r="H362" s="42"/>
      <c r="I362" s="42"/>
      <c r="J362" s="40"/>
      <c r="K362" s="40"/>
      <c r="L362" s="41">
        <f t="shared" si="1"/>
        <v>0</v>
      </c>
      <c r="M362" s="42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>
      <c r="A363" s="43"/>
      <c r="B363" s="41"/>
      <c r="C363" s="41"/>
      <c r="D363" s="41"/>
      <c r="E363" s="41"/>
      <c r="F363" s="41"/>
      <c r="G363" s="41"/>
      <c r="H363" s="42"/>
      <c r="I363" s="41"/>
      <c r="J363" s="41"/>
      <c r="K363" s="41"/>
      <c r="L363" s="41">
        <f t="shared" si="1"/>
        <v>0</v>
      </c>
      <c r="M363" s="42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>
      <c r="A364" s="43"/>
      <c r="B364" s="41"/>
      <c r="C364" s="41"/>
      <c r="D364" s="41"/>
      <c r="E364" s="41"/>
      <c r="F364" s="41"/>
      <c r="G364" s="41"/>
      <c r="H364" s="42"/>
      <c r="I364" s="41"/>
      <c r="J364" s="41"/>
      <c r="K364" s="41"/>
      <c r="L364" s="41">
        <f t="shared" si="1"/>
        <v>0</v>
      </c>
      <c r="M364" s="42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>
      <c r="A365" s="43"/>
      <c r="B365" s="41"/>
      <c r="C365" s="41"/>
      <c r="D365" s="41"/>
      <c r="E365" s="41"/>
      <c r="F365" s="41"/>
      <c r="G365" s="41"/>
      <c r="H365" s="42"/>
      <c r="I365" s="41"/>
      <c r="J365" s="41"/>
      <c r="K365" s="41"/>
      <c r="L365" s="41">
        <f t="shared" si="1"/>
        <v>0</v>
      </c>
      <c r="M365" s="42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>
      <c r="A366" s="43"/>
      <c r="B366" s="41"/>
      <c r="C366" s="41"/>
      <c r="D366" s="41"/>
      <c r="E366" s="41"/>
      <c r="F366" s="41"/>
      <c r="G366" s="41"/>
      <c r="H366" s="42"/>
      <c r="I366" s="41"/>
      <c r="J366" s="41"/>
      <c r="K366" s="41"/>
      <c r="L366" s="41">
        <f t="shared" si="1"/>
        <v>0</v>
      </c>
      <c r="M366" s="42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>
      <c r="A367" s="43"/>
      <c r="B367" s="41"/>
      <c r="C367" s="41"/>
      <c r="D367" s="41"/>
      <c r="E367" s="41"/>
      <c r="F367" s="41"/>
      <c r="G367" s="41"/>
      <c r="H367" s="42"/>
      <c r="I367" s="41"/>
      <c r="J367" s="41"/>
      <c r="K367" s="41"/>
      <c r="L367" s="41">
        <f t="shared" si="1"/>
        <v>0</v>
      </c>
      <c r="M367" s="42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>
      <c r="A368" s="43"/>
      <c r="B368" s="41"/>
      <c r="C368" s="41"/>
      <c r="D368" s="41"/>
      <c r="E368" s="41"/>
      <c r="F368" s="41"/>
      <c r="G368" s="41"/>
      <c r="H368" s="42"/>
      <c r="I368" s="41"/>
      <c r="J368" s="41"/>
      <c r="K368" s="41"/>
      <c r="L368" s="41">
        <f t="shared" si="1"/>
        <v>0</v>
      </c>
      <c r="M368" s="42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>
      <c r="A369" s="43"/>
      <c r="B369" s="41"/>
      <c r="C369" s="41"/>
      <c r="D369" s="41"/>
      <c r="E369" s="41"/>
      <c r="F369" s="41"/>
      <c r="G369" s="41"/>
      <c r="H369" s="42"/>
      <c r="I369" s="41"/>
      <c r="J369" s="41"/>
      <c r="K369" s="41"/>
      <c r="L369" s="41">
        <f t="shared" si="1"/>
        <v>0</v>
      </c>
      <c r="M369" s="42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>
      <c r="A370" s="43"/>
      <c r="B370" s="41"/>
      <c r="C370" s="41"/>
      <c r="D370" s="41"/>
      <c r="E370" s="41"/>
      <c r="F370" s="41"/>
      <c r="G370" s="41"/>
      <c r="H370" s="42"/>
      <c r="I370" s="41"/>
      <c r="J370" s="41"/>
      <c r="K370" s="41"/>
      <c r="L370" s="41">
        <f t="shared" si="1"/>
        <v>0</v>
      </c>
      <c r="M370" s="42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>
      <c r="A371" s="43"/>
      <c r="B371" s="41"/>
      <c r="C371" s="41"/>
      <c r="D371" s="41"/>
      <c r="E371" s="41"/>
      <c r="F371" s="41"/>
      <c r="G371" s="41"/>
      <c r="H371" s="42"/>
      <c r="I371" s="41"/>
      <c r="J371" s="41"/>
      <c r="K371" s="41"/>
      <c r="L371" s="41">
        <f t="shared" si="1"/>
        <v>0</v>
      </c>
      <c r="M371" s="42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>
      <c r="A372" s="43"/>
      <c r="B372" s="41"/>
      <c r="C372" s="41"/>
      <c r="D372" s="41"/>
      <c r="E372" s="41"/>
      <c r="F372" s="41"/>
      <c r="G372" s="41"/>
      <c r="H372" s="42"/>
      <c r="I372" s="41"/>
      <c r="J372" s="41"/>
      <c r="K372" s="41"/>
      <c r="L372" s="41">
        <f t="shared" si="1"/>
        <v>0</v>
      </c>
      <c r="M372" s="42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>
      <c r="A373" s="43"/>
      <c r="B373" s="41"/>
      <c r="C373" s="41"/>
      <c r="D373" s="41"/>
      <c r="E373" s="41"/>
      <c r="F373" s="41"/>
      <c r="G373" s="41"/>
      <c r="H373" s="42"/>
      <c r="I373" s="41"/>
      <c r="J373" s="41"/>
      <c r="K373" s="41"/>
      <c r="L373" s="41">
        <f t="shared" si="1"/>
        <v>0</v>
      </c>
      <c r="M373" s="42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>
      <c r="A374" s="43"/>
      <c r="B374" s="41"/>
      <c r="C374" s="41"/>
      <c r="D374" s="41"/>
      <c r="E374" s="41"/>
      <c r="F374" s="41"/>
      <c r="G374" s="41"/>
      <c r="H374" s="42"/>
      <c r="I374" s="41"/>
      <c r="J374" s="41"/>
      <c r="K374" s="41"/>
      <c r="L374" s="41">
        <f t="shared" si="1"/>
        <v>0</v>
      </c>
      <c r="M374" s="42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>
      <c r="A375" s="43"/>
      <c r="B375" s="41"/>
      <c r="C375" s="41"/>
      <c r="D375" s="41"/>
      <c r="E375" s="41"/>
      <c r="F375" s="41"/>
      <c r="G375" s="41"/>
      <c r="H375" s="42"/>
      <c r="I375" s="41"/>
      <c r="J375" s="41"/>
      <c r="K375" s="41"/>
      <c r="L375" s="41">
        <f t="shared" si="1"/>
        <v>0</v>
      </c>
      <c r="M375" s="42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>
      <c r="A376" s="43"/>
      <c r="B376" s="41"/>
      <c r="C376" s="41"/>
      <c r="D376" s="41"/>
      <c r="E376" s="41"/>
      <c r="F376" s="41"/>
      <c r="G376" s="41"/>
      <c r="H376" s="42"/>
      <c r="I376" s="41"/>
      <c r="J376" s="41"/>
      <c r="K376" s="41"/>
      <c r="L376" s="41">
        <f t="shared" si="1"/>
        <v>0</v>
      </c>
      <c r="M376" s="42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>
      <c r="A377" s="43"/>
      <c r="B377" s="41"/>
      <c r="C377" s="41"/>
      <c r="D377" s="41"/>
      <c r="E377" s="41"/>
      <c r="F377" s="41"/>
      <c r="G377" s="41"/>
      <c r="H377" s="42"/>
      <c r="I377" s="41"/>
      <c r="J377" s="41"/>
      <c r="K377" s="41"/>
      <c r="L377" s="41">
        <f t="shared" si="1"/>
        <v>0</v>
      </c>
      <c r="M377" s="42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>
      <c r="A378" s="43"/>
      <c r="B378" s="41"/>
      <c r="C378" s="41"/>
      <c r="D378" s="41"/>
      <c r="E378" s="41"/>
      <c r="F378" s="41"/>
      <c r="G378" s="41"/>
      <c r="H378" s="42"/>
      <c r="I378" s="41"/>
      <c r="J378" s="41"/>
      <c r="K378" s="41"/>
      <c r="L378" s="41">
        <f t="shared" si="1"/>
        <v>0</v>
      </c>
      <c r="M378" s="42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>
      <c r="A379" s="43"/>
      <c r="B379" s="41"/>
      <c r="C379" s="41"/>
      <c r="D379" s="41"/>
      <c r="E379" s="41"/>
      <c r="F379" s="41"/>
      <c r="G379" s="41"/>
      <c r="H379" s="42"/>
      <c r="I379" s="41"/>
      <c r="J379" s="41"/>
      <c r="K379" s="41"/>
      <c r="L379" s="41">
        <f t="shared" si="1"/>
        <v>0</v>
      </c>
      <c r="M379" s="42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>
      <c r="A380" s="43"/>
      <c r="B380" s="41"/>
      <c r="C380" s="41"/>
      <c r="D380" s="41"/>
      <c r="E380" s="41"/>
      <c r="F380" s="41"/>
      <c r="G380" s="41"/>
      <c r="H380" s="42"/>
      <c r="I380" s="41"/>
      <c r="J380" s="41"/>
      <c r="K380" s="41"/>
      <c r="L380" s="41">
        <f t="shared" si="1"/>
        <v>0</v>
      </c>
      <c r="M380" s="42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>
      <c r="A381" s="43"/>
      <c r="B381" s="41"/>
      <c r="C381" s="41"/>
      <c r="D381" s="41"/>
      <c r="E381" s="41"/>
      <c r="F381" s="41"/>
      <c r="G381" s="41"/>
      <c r="H381" s="42"/>
      <c r="I381" s="41"/>
      <c r="J381" s="41"/>
      <c r="K381" s="41"/>
      <c r="L381" s="41">
        <f t="shared" si="1"/>
        <v>0</v>
      </c>
      <c r="M381" s="42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>
      <c r="A382" s="43"/>
      <c r="B382" s="41"/>
      <c r="C382" s="40"/>
      <c r="D382" s="40"/>
      <c r="E382" s="40"/>
      <c r="F382" s="42"/>
      <c r="G382" s="42"/>
      <c r="H382" s="42"/>
      <c r="I382" s="42"/>
      <c r="J382" s="40"/>
      <c r="K382" s="40"/>
      <c r="L382" s="41">
        <f t="shared" si="1"/>
        <v>0</v>
      </c>
      <c r="M382" s="42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>
      <c r="A383" s="43"/>
      <c r="B383" s="41"/>
      <c r="C383" s="41"/>
      <c r="D383" s="41"/>
      <c r="E383" s="41"/>
      <c r="F383" s="41"/>
      <c r="G383" s="41"/>
      <c r="H383" s="42"/>
      <c r="I383" s="41"/>
      <c r="J383" s="41"/>
      <c r="K383" s="41"/>
      <c r="L383" s="41">
        <f t="shared" si="1"/>
        <v>0</v>
      </c>
      <c r="M383" s="42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>
      <c r="A384" s="43"/>
      <c r="B384" s="41"/>
      <c r="C384" s="41"/>
      <c r="D384" s="41"/>
      <c r="E384" s="41"/>
      <c r="F384" s="41"/>
      <c r="G384" s="41"/>
      <c r="H384" s="42"/>
      <c r="I384" s="41"/>
      <c r="J384" s="41"/>
      <c r="K384" s="41"/>
      <c r="L384" s="41">
        <f t="shared" si="1"/>
        <v>0</v>
      </c>
      <c r="M384" s="42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>
      <c r="A385" s="43"/>
      <c r="B385" s="41"/>
      <c r="C385" s="41"/>
      <c r="D385" s="41"/>
      <c r="E385" s="41"/>
      <c r="F385" s="41"/>
      <c r="G385" s="41"/>
      <c r="H385" s="42"/>
      <c r="I385" s="41"/>
      <c r="J385" s="41"/>
      <c r="K385" s="41"/>
      <c r="L385" s="41">
        <f t="shared" si="1"/>
        <v>0</v>
      </c>
      <c r="M385" s="42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>
      <c r="A386" s="43"/>
      <c r="B386" s="41"/>
      <c r="C386" s="41"/>
      <c r="D386" s="41"/>
      <c r="E386" s="41"/>
      <c r="F386" s="41"/>
      <c r="G386" s="41"/>
      <c r="H386" s="42"/>
      <c r="I386" s="41"/>
      <c r="J386" s="41"/>
      <c r="K386" s="41"/>
      <c r="L386" s="41">
        <f t="shared" si="1"/>
        <v>0</v>
      </c>
      <c r="M386" s="42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>
      <c r="A387" s="43"/>
      <c r="B387" s="41"/>
      <c r="C387" s="41"/>
      <c r="D387" s="41"/>
      <c r="E387" s="41"/>
      <c r="F387" s="41"/>
      <c r="G387" s="41"/>
      <c r="H387" s="42"/>
      <c r="I387" s="41"/>
      <c r="J387" s="41"/>
      <c r="K387" s="41"/>
      <c r="L387" s="41">
        <f t="shared" si="1"/>
        <v>0</v>
      </c>
      <c r="M387" s="42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>
      <c r="A388" s="43"/>
      <c r="B388" s="41"/>
      <c r="C388" s="41"/>
      <c r="D388" s="41"/>
      <c r="E388" s="41"/>
      <c r="F388" s="41"/>
      <c r="G388" s="41"/>
      <c r="H388" s="42"/>
      <c r="I388" s="41"/>
      <c r="J388" s="41"/>
      <c r="K388" s="41"/>
      <c r="L388" s="41">
        <f t="shared" si="1"/>
        <v>0</v>
      </c>
      <c r="M388" s="42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>
      <c r="A389" s="43"/>
      <c r="B389" s="41"/>
      <c r="C389" s="41"/>
      <c r="D389" s="41"/>
      <c r="E389" s="41"/>
      <c r="F389" s="41"/>
      <c r="G389" s="41"/>
      <c r="H389" s="42"/>
      <c r="I389" s="41"/>
      <c r="J389" s="41"/>
      <c r="K389" s="41"/>
      <c r="L389" s="41">
        <f t="shared" si="1"/>
        <v>0</v>
      </c>
      <c r="M389" s="42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>
      <c r="A390" s="43"/>
      <c r="B390" s="41"/>
      <c r="C390" s="41"/>
      <c r="D390" s="41"/>
      <c r="E390" s="41"/>
      <c r="F390" s="41"/>
      <c r="G390" s="41"/>
      <c r="H390" s="42"/>
      <c r="I390" s="41"/>
      <c r="J390" s="41"/>
      <c r="K390" s="41"/>
      <c r="L390" s="41">
        <f t="shared" si="1"/>
        <v>0</v>
      </c>
      <c r="M390" s="42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>
      <c r="A391" s="43"/>
      <c r="B391" s="41"/>
      <c r="C391" s="41"/>
      <c r="D391" s="41"/>
      <c r="E391" s="41"/>
      <c r="F391" s="41"/>
      <c r="G391" s="41"/>
      <c r="H391" s="42"/>
      <c r="I391" s="41"/>
      <c r="J391" s="41"/>
      <c r="K391" s="41"/>
      <c r="L391" s="41">
        <f t="shared" si="1"/>
        <v>0</v>
      </c>
      <c r="M391" s="42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>
      <c r="A392" s="43"/>
      <c r="B392" s="41"/>
      <c r="C392" s="41"/>
      <c r="D392" s="41"/>
      <c r="E392" s="41"/>
      <c r="F392" s="41"/>
      <c r="G392" s="41"/>
      <c r="H392" s="42"/>
      <c r="I392" s="41"/>
      <c r="J392" s="41"/>
      <c r="K392" s="41"/>
      <c r="L392" s="41">
        <f t="shared" si="1"/>
        <v>0</v>
      </c>
      <c r="M392" s="42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>
      <c r="A393" s="43"/>
      <c r="B393" s="41"/>
      <c r="C393" s="41"/>
      <c r="D393" s="41"/>
      <c r="E393" s="41"/>
      <c r="F393" s="41"/>
      <c r="G393" s="41"/>
      <c r="H393" s="42"/>
      <c r="I393" s="41"/>
      <c r="J393" s="41"/>
      <c r="K393" s="41"/>
      <c r="L393" s="41">
        <f t="shared" si="1"/>
        <v>0</v>
      </c>
      <c r="M393" s="42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>
      <c r="A394" s="43"/>
      <c r="B394" s="41"/>
      <c r="C394" s="41"/>
      <c r="D394" s="41"/>
      <c r="E394" s="41"/>
      <c r="F394" s="41"/>
      <c r="G394" s="41"/>
      <c r="H394" s="42"/>
      <c r="I394" s="41"/>
      <c r="J394" s="41"/>
      <c r="K394" s="41"/>
      <c r="L394" s="41">
        <f t="shared" si="1"/>
        <v>0</v>
      </c>
      <c r="M394" s="42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>
      <c r="A395" s="43"/>
      <c r="B395" s="41"/>
      <c r="C395" s="41"/>
      <c r="D395" s="41"/>
      <c r="E395" s="41"/>
      <c r="F395" s="41"/>
      <c r="G395" s="41"/>
      <c r="H395" s="42"/>
      <c r="I395" s="41"/>
      <c r="J395" s="41"/>
      <c r="K395" s="41"/>
      <c r="L395" s="41">
        <f t="shared" si="1"/>
        <v>0</v>
      </c>
      <c r="M395" s="42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>
      <c r="A396" s="43"/>
      <c r="B396" s="41"/>
      <c r="C396" s="41"/>
      <c r="D396" s="41"/>
      <c r="E396" s="41"/>
      <c r="F396" s="41"/>
      <c r="G396" s="41"/>
      <c r="H396" s="42"/>
      <c r="I396" s="41"/>
      <c r="J396" s="41"/>
      <c r="K396" s="41"/>
      <c r="L396" s="41">
        <f t="shared" si="1"/>
        <v>0</v>
      </c>
      <c r="M396" s="42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>
      <c r="A397" s="43"/>
      <c r="B397" s="41"/>
      <c r="C397" s="41"/>
      <c r="D397" s="41"/>
      <c r="E397" s="41"/>
      <c r="F397" s="41"/>
      <c r="G397" s="41"/>
      <c r="H397" s="42"/>
      <c r="I397" s="41"/>
      <c r="J397" s="41"/>
      <c r="K397" s="41"/>
      <c r="L397" s="41">
        <f t="shared" si="1"/>
        <v>0</v>
      </c>
      <c r="M397" s="42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>
      <c r="A398" s="43"/>
      <c r="B398" s="41"/>
      <c r="C398" s="41"/>
      <c r="D398" s="41"/>
      <c r="E398" s="41"/>
      <c r="F398" s="41"/>
      <c r="G398" s="41"/>
      <c r="H398" s="42"/>
      <c r="I398" s="41"/>
      <c r="J398" s="41"/>
      <c r="K398" s="41"/>
      <c r="L398" s="41">
        <f t="shared" si="1"/>
        <v>0</v>
      </c>
      <c r="M398" s="42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>
      <c r="A399" s="43"/>
      <c r="B399" s="41"/>
      <c r="C399" s="41"/>
      <c r="D399" s="41"/>
      <c r="E399" s="41"/>
      <c r="F399" s="41"/>
      <c r="G399" s="41"/>
      <c r="H399" s="42"/>
      <c r="I399" s="41"/>
      <c r="J399" s="41"/>
      <c r="K399" s="41"/>
      <c r="L399" s="41">
        <f t="shared" si="1"/>
        <v>0</v>
      </c>
      <c r="M399" s="42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>
      <c r="A400" s="43"/>
      <c r="B400" s="41"/>
      <c r="C400" s="41"/>
      <c r="D400" s="41"/>
      <c r="E400" s="41"/>
      <c r="F400" s="41"/>
      <c r="G400" s="41"/>
      <c r="H400" s="42"/>
      <c r="I400" s="41"/>
      <c r="J400" s="41"/>
      <c r="K400" s="41"/>
      <c r="L400" s="41">
        <f t="shared" si="1"/>
        <v>0</v>
      </c>
      <c r="M400" s="42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>
      <c r="A401" s="43"/>
      <c r="B401" s="41"/>
      <c r="C401" s="41"/>
      <c r="D401" s="41"/>
      <c r="E401" s="41"/>
      <c r="F401" s="41"/>
      <c r="G401" s="41"/>
      <c r="H401" s="42"/>
      <c r="I401" s="41"/>
      <c r="J401" s="41"/>
      <c r="K401" s="41"/>
      <c r="L401" s="41">
        <f t="shared" si="1"/>
        <v>0</v>
      </c>
      <c r="M401" s="42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>
      <c r="A402" s="43"/>
      <c r="B402" s="41"/>
      <c r="C402" s="41"/>
      <c r="D402" s="41"/>
      <c r="E402" s="41"/>
      <c r="F402" s="41"/>
      <c r="G402" s="41"/>
      <c r="H402" s="42"/>
      <c r="I402" s="41"/>
      <c r="J402" s="41"/>
      <c r="K402" s="41"/>
      <c r="L402" s="41">
        <f t="shared" si="1"/>
        <v>0</v>
      </c>
      <c r="M402" s="42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>
      <c r="A403" s="43"/>
      <c r="B403" s="41"/>
      <c r="C403" s="41"/>
      <c r="D403" s="41"/>
      <c r="E403" s="41"/>
      <c r="F403" s="41"/>
      <c r="G403" s="41"/>
      <c r="H403" s="42"/>
      <c r="I403" s="41"/>
      <c r="J403" s="41"/>
      <c r="K403" s="41"/>
      <c r="L403" s="41">
        <f t="shared" si="1"/>
        <v>0</v>
      </c>
      <c r="M403" s="42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>
      <c r="A404" s="43"/>
      <c r="B404" s="41"/>
      <c r="C404" s="40"/>
      <c r="D404" s="40"/>
      <c r="E404" s="40"/>
      <c r="F404" s="42"/>
      <c r="G404" s="42"/>
      <c r="H404" s="42"/>
      <c r="I404" s="42"/>
      <c r="J404" s="40"/>
      <c r="K404" s="40"/>
      <c r="L404" s="41">
        <f t="shared" si="1"/>
        <v>0</v>
      </c>
      <c r="M404" s="42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>
      <c r="A405" s="43"/>
      <c r="B405" s="41"/>
      <c r="C405" s="41"/>
      <c r="D405" s="41"/>
      <c r="E405" s="41"/>
      <c r="F405" s="41"/>
      <c r="G405" s="41"/>
      <c r="H405" s="42"/>
      <c r="I405" s="41"/>
      <c r="J405" s="41"/>
      <c r="K405" s="41"/>
      <c r="L405" s="41">
        <f t="shared" si="1"/>
        <v>0</v>
      </c>
      <c r="M405" s="42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>
      <c r="A406" s="43"/>
      <c r="B406" s="41"/>
      <c r="C406" s="41"/>
      <c r="D406" s="41"/>
      <c r="E406" s="41"/>
      <c r="F406" s="41"/>
      <c r="G406" s="41"/>
      <c r="H406" s="42"/>
      <c r="I406" s="41"/>
      <c r="J406" s="41"/>
      <c r="K406" s="41"/>
      <c r="L406" s="41">
        <f t="shared" si="1"/>
        <v>0</v>
      </c>
      <c r="M406" s="42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>
      <c r="A407" s="43"/>
      <c r="B407" s="41"/>
      <c r="C407" s="41"/>
      <c r="D407" s="41"/>
      <c r="E407" s="41"/>
      <c r="F407" s="41"/>
      <c r="G407" s="41"/>
      <c r="H407" s="42"/>
      <c r="I407" s="41"/>
      <c r="J407" s="41"/>
      <c r="K407" s="41"/>
      <c r="L407" s="41">
        <f t="shared" si="1"/>
        <v>0</v>
      </c>
      <c r="M407" s="42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>
      <c r="A408" s="43"/>
      <c r="B408" s="41"/>
      <c r="C408" s="41"/>
      <c r="D408" s="41"/>
      <c r="E408" s="41"/>
      <c r="F408" s="41"/>
      <c r="G408" s="41"/>
      <c r="H408" s="42"/>
      <c r="I408" s="41"/>
      <c r="J408" s="41"/>
      <c r="K408" s="41"/>
      <c r="L408" s="41">
        <f t="shared" si="1"/>
        <v>0</v>
      </c>
      <c r="M408" s="42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>
      <c r="A409" s="43"/>
      <c r="B409" s="41"/>
      <c r="C409" s="41"/>
      <c r="D409" s="41"/>
      <c r="E409" s="41"/>
      <c r="F409" s="41"/>
      <c r="G409" s="41"/>
      <c r="H409" s="42"/>
      <c r="I409" s="41"/>
      <c r="J409" s="41"/>
      <c r="K409" s="41"/>
      <c r="L409" s="41">
        <f t="shared" si="1"/>
        <v>0</v>
      </c>
      <c r="M409" s="42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>
      <c r="A410" s="43"/>
      <c r="B410" s="41"/>
      <c r="C410" s="41"/>
      <c r="D410" s="41"/>
      <c r="E410" s="41"/>
      <c r="F410" s="41"/>
      <c r="G410" s="41"/>
      <c r="H410" s="42"/>
      <c r="I410" s="41"/>
      <c r="J410" s="41"/>
      <c r="K410" s="41"/>
      <c r="L410" s="41">
        <f t="shared" si="1"/>
        <v>0</v>
      </c>
      <c r="M410" s="42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>
      <c r="A411" s="43"/>
      <c r="B411" s="41"/>
      <c r="C411" s="40"/>
      <c r="D411" s="40"/>
      <c r="E411" s="40"/>
      <c r="F411" s="42"/>
      <c r="G411" s="42"/>
      <c r="H411" s="42"/>
      <c r="I411" s="42"/>
      <c r="J411" s="40"/>
      <c r="K411" s="40"/>
      <c r="L411" s="41">
        <f t="shared" si="1"/>
        <v>0</v>
      </c>
      <c r="M411" s="42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>
      <c r="A412" s="43"/>
      <c r="B412" s="41"/>
      <c r="C412" s="41"/>
      <c r="D412" s="41"/>
      <c r="E412" s="41"/>
      <c r="F412" s="41"/>
      <c r="G412" s="41"/>
      <c r="H412" s="42"/>
      <c r="I412" s="41"/>
      <c r="J412" s="41"/>
      <c r="K412" s="41"/>
      <c r="L412" s="40">
        <f t="shared" si="1"/>
        <v>0</v>
      </c>
      <c r="M412" s="42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>
      <c r="A413" s="43"/>
      <c r="B413" s="41"/>
      <c r="C413" s="41"/>
      <c r="D413" s="41"/>
      <c r="E413" s="41"/>
      <c r="F413" s="41"/>
      <c r="G413" s="41"/>
      <c r="H413" s="42"/>
      <c r="I413" s="41"/>
      <c r="J413" s="41"/>
      <c r="K413" s="41"/>
      <c r="L413" s="40">
        <f t="shared" si="1"/>
        <v>0</v>
      </c>
      <c r="M413" s="42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>
      <c r="A414" s="43"/>
      <c r="B414" s="41"/>
      <c r="C414" s="40"/>
      <c r="D414" s="40"/>
      <c r="E414" s="40"/>
      <c r="F414" s="41"/>
      <c r="G414" s="42"/>
      <c r="H414" s="42"/>
      <c r="I414" s="40"/>
      <c r="J414" s="40"/>
      <c r="K414" s="40"/>
      <c r="L414" s="40">
        <f t="shared" si="1"/>
        <v>0</v>
      </c>
      <c r="M414" s="42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>
      <c r="A415" s="43"/>
      <c r="B415" s="41"/>
      <c r="C415" s="41"/>
      <c r="D415" s="41"/>
      <c r="E415" s="41"/>
      <c r="F415" s="41"/>
      <c r="G415" s="41"/>
      <c r="H415" s="42"/>
      <c r="I415" s="41"/>
      <c r="J415" s="41"/>
      <c r="K415" s="41"/>
      <c r="L415" s="41">
        <f t="shared" si="1"/>
        <v>0</v>
      </c>
      <c r="M415" s="42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>
      <c r="A416" s="43"/>
      <c r="B416" s="41"/>
      <c r="C416" s="41"/>
      <c r="D416" s="41"/>
      <c r="E416" s="41"/>
      <c r="F416" s="41"/>
      <c r="G416" s="41"/>
      <c r="H416" s="42"/>
      <c r="I416" s="41"/>
      <c r="J416" s="41"/>
      <c r="K416" s="41"/>
      <c r="L416" s="41">
        <f t="shared" si="1"/>
        <v>0</v>
      </c>
      <c r="M416" s="42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>
      <c r="A417" s="43"/>
      <c r="B417" s="41"/>
      <c r="C417" s="41"/>
      <c r="D417" s="41"/>
      <c r="E417" s="41"/>
      <c r="F417" s="41"/>
      <c r="G417" s="41"/>
      <c r="H417" s="42"/>
      <c r="I417" s="41"/>
      <c r="J417" s="41"/>
      <c r="K417" s="41"/>
      <c r="L417" s="41">
        <f t="shared" si="1"/>
        <v>0</v>
      </c>
      <c r="M417" s="42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>
      <c r="A418" s="43"/>
      <c r="B418" s="41"/>
      <c r="C418" s="41"/>
      <c r="D418" s="41"/>
      <c r="E418" s="41"/>
      <c r="F418" s="41"/>
      <c r="G418" s="41"/>
      <c r="H418" s="42"/>
      <c r="I418" s="41"/>
      <c r="J418" s="41"/>
      <c r="K418" s="41"/>
      <c r="L418" s="41">
        <f t="shared" si="1"/>
        <v>0</v>
      </c>
      <c r="M418" s="42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>
      <c r="A419" s="43"/>
      <c r="B419" s="41"/>
      <c r="C419" s="41"/>
      <c r="D419" s="41"/>
      <c r="E419" s="41"/>
      <c r="F419" s="41"/>
      <c r="G419" s="41"/>
      <c r="H419" s="42"/>
      <c r="I419" s="41"/>
      <c r="J419" s="41"/>
      <c r="K419" s="41"/>
      <c r="L419" s="41">
        <f t="shared" si="1"/>
        <v>0</v>
      </c>
      <c r="M419" s="42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>
      <c r="A420" s="43"/>
      <c r="B420" s="41"/>
      <c r="C420" s="41"/>
      <c r="D420" s="41"/>
      <c r="E420" s="41"/>
      <c r="F420" s="41"/>
      <c r="G420" s="41"/>
      <c r="H420" s="42"/>
      <c r="I420" s="41"/>
      <c r="J420" s="41"/>
      <c r="K420" s="41"/>
      <c r="L420" s="41">
        <f t="shared" si="1"/>
        <v>0</v>
      </c>
      <c r="M420" s="42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>
      <c r="A421" s="43"/>
      <c r="B421" s="41"/>
      <c r="C421" s="41"/>
      <c r="D421" s="41"/>
      <c r="E421" s="41"/>
      <c r="F421" s="41"/>
      <c r="G421" s="41"/>
      <c r="H421" s="42"/>
      <c r="I421" s="41"/>
      <c r="J421" s="41"/>
      <c r="K421" s="41"/>
      <c r="L421" s="41">
        <f t="shared" si="1"/>
        <v>0</v>
      </c>
      <c r="M421" s="42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>
      <c r="A422" s="43"/>
      <c r="B422" s="41"/>
      <c r="C422" s="41"/>
      <c r="D422" s="41"/>
      <c r="E422" s="41"/>
      <c r="F422" s="41"/>
      <c r="G422" s="41"/>
      <c r="H422" s="42"/>
      <c r="I422" s="41"/>
      <c r="J422" s="41"/>
      <c r="K422" s="41"/>
      <c r="L422" s="41">
        <f t="shared" si="1"/>
        <v>0</v>
      </c>
      <c r="M422" s="42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>
      <c r="A423" s="43"/>
      <c r="B423" s="41"/>
      <c r="C423" s="41"/>
      <c r="D423" s="41"/>
      <c r="E423" s="41"/>
      <c r="F423" s="41"/>
      <c r="G423" s="41"/>
      <c r="H423" s="42"/>
      <c r="I423" s="41"/>
      <c r="J423" s="41"/>
      <c r="K423" s="41"/>
      <c r="L423" s="41">
        <f t="shared" si="1"/>
        <v>0</v>
      </c>
      <c r="M423" s="42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>
      <c r="A424" s="43"/>
      <c r="B424" s="41"/>
      <c r="C424" s="41"/>
      <c r="D424" s="41"/>
      <c r="E424" s="41"/>
      <c r="F424" s="41"/>
      <c r="G424" s="41"/>
      <c r="H424" s="42"/>
      <c r="I424" s="41"/>
      <c r="J424" s="41"/>
      <c r="K424" s="41"/>
      <c r="L424" s="41">
        <f t="shared" si="1"/>
        <v>0</v>
      </c>
      <c r="M424" s="42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>
      <c r="A425" s="43"/>
      <c r="B425" s="41"/>
      <c r="C425" s="41"/>
      <c r="D425" s="41"/>
      <c r="E425" s="41"/>
      <c r="F425" s="41"/>
      <c r="G425" s="41"/>
      <c r="H425" s="42"/>
      <c r="I425" s="41"/>
      <c r="J425" s="41"/>
      <c r="K425" s="41"/>
      <c r="L425" s="41">
        <f t="shared" si="1"/>
        <v>0</v>
      </c>
      <c r="M425" s="42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>
      <c r="A426" s="43"/>
      <c r="B426" s="41"/>
      <c r="C426" s="41"/>
      <c r="D426" s="41"/>
      <c r="E426" s="41"/>
      <c r="F426" s="41"/>
      <c r="G426" s="41"/>
      <c r="H426" s="42"/>
      <c r="I426" s="41"/>
      <c r="J426" s="41"/>
      <c r="K426" s="41"/>
      <c r="L426" s="41">
        <f t="shared" si="1"/>
        <v>0</v>
      </c>
      <c r="M426" s="42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>
      <c r="A427" s="43"/>
      <c r="B427" s="41"/>
      <c r="C427" s="41"/>
      <c r="D427" s="41"/>
      <c r="E427" s="41"/>
      <c r="F427" s="41"/>
      <c r="G427" s="41"/>
      <c r="H427" s="42"/>
      <c r="I427" s="41"/>
      <c r="J427" s="41"/>
      <c r="K427" s="41"/>
      <c r="L427" s="41">
        <f t="shared" si="1"/>
        <v>0</v>
      </c>
      <c r="M427" s="42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>
      <c r="A428" s="43"/>
      <c r="B428" s="41"/>
      <c r="C428" s="41"/>
      <c r="D428" s="41"/>
      <c r="E428" s="41"/>
      <c r="F428" s="41"/>
      <c r="G428" s="41"/>
      <c r="H428" s="42"/>
      <c r="I428" s="41"/>
      <c r="J428" s="41"/>
      <c r="K428" s="41"/>
      <c r="L428" s="41">
        <f t="shared" si="1"/>
        <v>0</v>
      </c>
      <c r="M428" s="42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>
      <c r="A429" s="43"/>
      <c r="B429" s="41"/>
      <c r="C429" s="41"/>
      <c r="D429" s="41"/>
      <c r="E429" s="41"/>
      <c r="F429" s="41"/>
      <c r="G429" s="41"/>
      <c r="H429" s="42"/>
      <c r="I429" s="41"/>
      <c r="J429" s="41"/>
      <c r="K429" s="41"/>
      <c r="L429" s="41">
        <f t="shared" si="1"/>
        <v>0</v>
      </c>
      <c r="M429" s="42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>
      <c r="A430" s="43"/>
      <c r="B430" s="41"/>
      <c r="C430" s="41"/>
      <c r="D430" s="41"/>
      <c r="E430" s="41"/>
      <c r="F430" s="41"/>
      <c r="G430" s="41"/>
      <c r="H430" s="42"/>
      <c r="I430" s="41"/>
      <c r="J430" s="41"/>
      <c r="K430" s="41"/>
      <c r="L430" s="41">
        <f t="shared" si="1"/>
        <v>0</v>
      </c>
      <c r="M430" s="42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>
      <c r="A431" s="43"/>
      <c r="B431" s="41"/>
      <c r="C431" s="41"/>
      <c r="D431" s="41"/>
      <c r="E431" s="41"/>
      <c r="F431" s="41"/>
      <c r="G431" s="41"/>
      <c r="H431" s="42"/>
      <c r="I431" s="41"/>
      <c r="J431" s="41"/>
      <c r="K431" s="41"/>
      <c r="L431" s="41">
        <f t="shared" si="1"/>
        <v>0</v>
      </c>
      <c r="M431" s="42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>
      <c r="A432" s="43"/>
      <c r="B432" s="41"/>
      <c r="C432" s="41"/>
      <c r="D432" s="41"/>
      <c r="E432" s="41"/>
      <c r="F432" s="41"/>
      <c r="G432" s="41"/>
      <c r="H432" s="42"/>
      <c r="I432" s="41"/>
      <c r="J432" s="41"/>
      <c r="K432" s="41"/>
      <c r="L432" s="41">
        <f t="shared" si="1"/>
        <v>0</v>
      </c>
      <c r="M432" s="42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>
      <c r="A433" s="43"/>
      <c r="B433" s="41"/>
      <c r="C433" s="41"/>
      <c r="D433" s="41"/>
      <c r="E433" s="41"/>
      <c r="F433" s="41"/>
      <c r="G433" s="41"/>
      <c r="H433" s="42"/>
      <c r="I433" s="41"/>
      <c r="J433" s="41"/>
      <c r="K433" s="41"/>
      <c r="L433" s="41">
        <f t="shared" si="1"/>
        <v>0</v>
      </c>
      <c r="M433" s="42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>
      <c r="A434" s="43"/>
      <c r="B434" s="41"/>
      <c r="C434" s="41"/>
      <c r="D434" s="41"/>
      <c r="E434" s="41"/>
      <c r="F434" s="41"/>
      <c r="G434" s="41"/>
      <c r="H434" s="42"/>
      <c r="I434" s="41"/>
      <c r="J434" s="41"/>
      <c r="K434" s="41"/>
      <c r="L434" s="41">
        <f t="shared" si="1"/>
        <v>0</v>
      </c>
      <c r="M434" s="42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>
      <c r="A435" s="43"/>
      <c r="B435" s="41"/>
      <c r="C435" s="41"/>
      <c r="D435" s="41"/>
      <c r="E435" s="41"/>
      <c r="F435" s="41"/>
      <c r="G435" s="41"/>
      <c r="H435" s="42"/>
      <c r="I435" s="41"/>
      <c r="J435" s="41"/>
      <c r="K435" s="41"/>
      <c r="L435" s="41">
        <f t="shared" si="1"/>
        <v>0</v>
      </c>
      <c r="M435" s="42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>
      <c r="A436" s="43"/>
      <c r="B436" s="41"/>
      <c r="C436" s="41"/>
      <c r="D436" s="41"/>
      <c r="E436" s="41"/>
      <c r="F436" s="41"/>
      <c r="G436" s="41"/>
      <c r="H436" s="42"/>
      <c r="I436" s="41"/>
      <c r="J436" s="41"/>
      <c r="K436" s="41"/>
      <c r="L436" s="41">
        <f t="shared" si="1"/>
        <v>0</v>
      </c>
      <c r="M436" s="42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>
      <c r="A437" s="43"/>
      <c r="B437" s="41"/>
      <c r="C437" s="41"/>
      <c r="D437" s="41"/>
      <c r="E437" s="41"/>
      <c r="F437" s="41"/>
      <c r="G437" s="41"/>
      <c r="H437" s="42"/>
      <c r="I437" s="41"/>
      <c r="J437" s="41"/>
      <c r="K437" s="41"/>
      <c r="L437" s="41">
        <f t="shared" si="1"/>
        <v>0</v>
      </c>
      <c r="M437" s="42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>
      <c r="A438" s="43"/>
      <c r="B438" s="41"/>
      <c r="C438" s="41"/>
      <c r="D438" s="41"/>
      <c r="E438" s="41"/>
      <c r="F438" s="41"/>
      <c r="G438" s="41"/>
      <c r="H438" s="42"/>
      <c r="I438" s="41"/>
      <c r="J438" s="41"/>
      <c r="K438" s="41"/>
      <c r="L438" s="41">
        <f t="shared" si="1"/>
        <v>0</v>
      </c>
      <c r="M438" s="42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>
      <c r="A439" s="43"/>
      <c r="B439" s="41"/>
      <c r="C439" s="40"/>
      <c r="D439" s="40"/>
      <c r="E439" s="40"/>
      <c r="F439" s="42"/>
      <c r="G439" s="42"/>
      <c r="H439" s="42"/>
      <c r="I439" s="42"/>
      <c r="J439" s="40"/>
      <c r="K439" s="40"/>
      <c r="L439" s="41">
        <f t="shared" si="1"/>
        <v>0</v>
      </c>
      <c r="M439" s="42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>
      <c r="A440" s="43"/>
      <c r="B440" s="41"/>
      <c r="C440" s="41"/>
      <c r="D440" s="41"/>
      <c r="E440" s="41"/>
      <c r="F440" s="41"/>
      <c r="G440" s="41"/>
      <c r="H440" s="42"/>
      <c r="I440" s="41"/>
      <c r="J440" s="41"/>
      <c r="K440" s="41"/>
      <c r="L440" s="41">
        <f t="shared" si="1"/>
        <v>0</v>
      </c>
      <c r="M440" s="42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>
      <c r="A441" s="43"/>
      <c r="B441" s="41"/>
      <c r="C441" s="41"/>
      <c r="D441" s="41"/>
      <c r="E441" s="41"/>
      <c r="F441" s="41"/>
      <c r="G441" s="41"/>
      <c r="H441" s="42"/>
      <c r="I441" s="41"/>
      <c r="J441" s="41"/>
      <c r="K441" s="41"/>
      <c r="L441" s="41">
        <f t="shared" si="1"/>
        <v>0</v>
      </c>
      <c r="M441" s="42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>
      <c r="A442" s="43"/>
      <c r="B442" s="41"/>
      <c r="C442" s="41"/>
      <c r="D442" s="41"/>
      <c r="E442" s="41"/>
      <c r="F442" s="41"/>
      <c r="G442" s="41"/>
      <c r="H442" s="42"/>
      <c r="I442" s="41"/>
      <c r="J442" s="41"/>
      <c r="K442" s="41"/>
      <c r="L442" s="41">
        <f t="shared" si="1"/>
        <v>0</v>
      </c>
      <c r="M442" s="42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>
      <c r="A443" s="43"/>
      <c r="B443" s="41"/>
      <c r="C443" s="41"/>
      <c r="D443" s="41"/>
      <c r="E443" s="41"/>
      <c r="F443" s="41"/>
      <c r="G443" s="41"/>
      <c r="H443" s="42"/>
      <c r="I443" s="41"/>
      <c r="J443" s="41"/>
      <c r="K443" s="41"/>
      <c r="L443" s="41">
        <f t="shared" si="1"/>
        <v>0</v>
      </c>
      <c r="M443" s="42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>
      <c r="A444" s="43"/>
      <c r="B444" s="41"/>
      <c r="C444" s="41"/>
      <c r="D444" s="41"/>
      <c r="E444" s="41"/>
      <c r="F444" s="41"/>
      <c r="G444" s="41"/>
      <c r="H444" s="42"/>
      <c r="I444" s="41"/>
      <c r="J444" s="41"/>
      <c r="K444" s="41"/>
      <c r="L444" s="41">
        <f t="shared" si="1"/>
        <v>0</v>
      </c>
      <c r="M444" s="42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>
      <c r="A445" s="43"/>
      <c r="B445" s="41"/>
      <c r="C445" s="41"/>
      <c r="D445" s="41"/>
      <c r="E445" s="41"/>
      <c r="F445" s="41"/>
      <c r="G445" s="41"/>
      <c r="H445" s="42"/>
      <c r="I445" s="41"/>
      <c r="J445" s="41"/>
      <c r="K445" s="41"/>
      <c r="L445" s="41">
        <f t="shared" si="1"/>
        <v>0</v>
      </c>
      <c r="M445" s="42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>
      <c r="A446" s="43"/>
      <c r="B446" s="41"/>
      <c r="C446" s="41"/>
      <c r="D446" s="41"/>
      <c r="E446" s="41"/>
      <c r="F446" s="41"/>
      <c r="G446" s="41"/>
      <c r="H446" s="42"/>
      <c r="I446" s="41"/>
      <c r="J446" s="41"/>
      <c r="K446" s="41"/>
      <c r="L446" s="41">
        <f t="shared" si="1"/>
        <v>0</v>
      </c>
      <c r="M446" s="42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>
      <c r="A447" s="43"/>
      <c r="B447" s="41"/>
      <c r="C447" s="41"/>
      <c r="D447" s="41"/>
      <c r="E447" s="41"/>
      <c r="F447" s="41"/>
      <c r="G447" s="41"/>
      <c r="H447" s="42"/>
      <c r="I447" s="41"/>
      <c r="J447" s="41"/>
      <c r="K447" s="41"/>
      <c r="L447" s="41">
        <f t="shared" si="1"/>
        <v>0</v>
      </c>
      <c r="M447" s="42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>
      <c r="A448" s="43"/>
      <c r="B448" s="41"/>
      <c r="C448" s="41"/>
      <c r="D448" s="41"/>
      <c r="E448" s="41"/>
      <c r="F448" s="41"/>
      <c r="G448" s="41"/>
      <c r="H448" s="42"/>
      <c r="I448" s="41"/>
      <c r="J448" s="41"/>
      <c r="K448" s="41"/>
      <c r="L448" s="41">
        <f t="shared" si="1"/>
        <v>0</v>
      </c>
      <c r="M448" s="42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>
      <c r="A449" s="43"/>
      <c r="B449" s="41"/>
      <c r="C449" s="41"/>
      <c r="D449" s="41"/>
      <c r="E449" s="41"/>
      <c r="F449" s="41"/>
      <c r="G449" s="41"/>
      <c r="H449" s="42"/>
      <c r="I449" s="41"/>
      <c r="J449" s="41"/>
      <c r="K449" s="41"/>
      <c r="L449" s="41">
        <f t="shared" si="1"/>
        <v>0</v>
      </c>
      <c r="M449" s="42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>
      <c r="A450" s="43"/>
      <c r="B450" s="41"/>
      <c r="C450" s="41"/>
      <c r="D450" s="41"/>
      <c r="E450" s="41"/>
      <c r="F450" s="41"/>
      <c r="G450" s="41"/>
      <c r="H450" s="42"/>
      <c r="I450" s="41"/>
      <c r="J450" s="41"/>
      <c r="K450" s="41"/>
      <c r="L450" s="41">
        <f t="shared" si="1"/>
        <v>0</v>
      </c>
      <c r="M450" s="42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>
      <c r="A451" s="43"/>
      <c r="B451" s="41"/>
      <c r="C451" s="41"/>
      <c r="D451" s="41"/>
      <c r="E451" s="41"/>
      <c r="F451" s="41"/>
      <c r="G451" s="41"/>
      <c r="H451" s="42"/>
      <c r="I451" s="41"/>
      <c r="J451" s="41"/>
      <c r="K451" s="41"/>
      <c r="L451" s="41">
        <f t="shared" si="1"/>
        <v>0</v>
      </c>
      <c r="M451" s="42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>
      <c r="A452" s="43"/>
      <c r="B452" s="41"/>
      <c r="C452" s="41"/>
      <c r="D452" s="41"/>
      <c r="E452" s="41"/>
      <c r="F452" s="41"/>
      <c r="G452" s="41"/>
      <c r="H452" s="42"/>
      <c r="I452" s="41"/>
      <c r="J452" s="41"/>
      <c r="K452" s="41"/>
      <c r="L452" s="41">
        <f t="shared" si="1"/>
        <v>0</v>
      </c>
      <c r="M452" s="42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>
      <c r="A453" s="43"/>
      <c r="B453" s="41"/>
      <c r="C453" s="41"/>
      <c r="D453" s="41"/>
      <c r="E453" s="41"/>
      <c r="F453" s="41"/>
      <c r="G453" s="41"/>
      <c r="H453" s="42"/>
      <c r="I453" s="41"/>
      <c r="J453" s="41"/>
      <c r="K453" s="41"/>
      <c r="L453" s="41">
        <f t="shared" si="1"/>
        <v>0</v>
      </c>
      <c r="M453" s="42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>
      <c r="A454" s="43"/>
      <c r="B454" s="41"/>
      <c r="C454" s="41"/>
      <c r="D454" s="41"/>
      <c r="E454" s="41"/>
      <c r="F454" s="41"/>
      <c r="G454" s="41"/>
      <c r="H454" s="42"/>
      <c r="I454" s="41"/>
      <c r="J454" s="41"/>
      <c r="K454" s="41"/>
      <c r="L454" s="41">
        <f t="shared" si="1"/>
        <v>0</v>
      </c>
      <c r="M454" s="42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>
      <c r="A455" s="43"/>
      <c r="B455" s="41"/>
      <c r="C455" s="41"/>
      <c r="D455" s="41"/>
      <c r="E455" s="41"/>
      <c r="F455" s="41"/>
      <c r="G455" s="41"/>
      <c r="H455" s="42"/>
      <c r="I455" s="41"/>
      <c r="J455" s="41"/>
      <c r="K455" s="41"/>
      <c r="L455" s="41">
        <f t="shared" si="1"/>
        <v>0</v>
      </c>
      <c r="M455" s="42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>
      <c r="A456" s="43"/>
      <c r="B456" s="41"/>
      <c r="C456" s="41"/>
      <c r="D456" s="41"/>
      <c r="E456" s="41"/>
      <c r="F456" s="41"/>
      <c r="G456" s="41"/>
      <c r="H456" s="42"/>
      <c r="I456" s="41"/>
      <c r="J456" s="41"/>
      <c r="K456" s="41"/>
      <c r="L456" s="41">
        <f t="shared" si="1"/>
        <v>0</v>
      </c>
      <c r="M456" s="42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>
      <c r="A457" s="43"/>
      <c r="B457" s="41"/>
      <c r="C457" s="41"/>
      <c r="D457" s="41"/>
      <c r="E457" s="41"/>
      <c r="F457" s="41"/>
      <c r="G457" s="41"/>
      <c r="H457" s="42"/>
      <c r="I457" s="41"/>
      <c r="J457" s="41"/>
      <c r="K457" s="41"/>
      <c r="L457" s="41">
        <f t="shared" si="1"/>
        <v>0</v>
      </c>
      <c r="M457" s="42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>
      <c r="A458" s="43"/>
      <c r="B458" s="41"/>
      <c r="C458" s="41"/>
      <c r="D458" s="41"/>
      <c r="E458" s="41"/>
      <c r="F458" s="41"/>
      <c r="G458" s="41"/>
      <c r="H458" s="42"/>
      <c r="I458" s="41"/>
      <c r="J458" s="41"/>
      <c r="K458" s="41"/>
      <c r="L458" s="41">
        <f t="shared" si="1"/>
        <v>0</v>
      </c>
      <c r="M458" s="42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>
      <c r="A459" s="43"/>
      <c r="B459" s="41"/>
      <c r="C459" s="41"/>
      <c r="D459" s="41"/>
      <c r="E459" s="41"/>
      <c r="F459" s="41"/>
      <c r="G459" s="41"/>
      <c r="H459" s="42"/>
      <c r="I459" s="41"/>
      <c r="J459" s="41"/>
      <c r="K459" s="41"/>
      <c r="L459" s="41">
        <f t="shared" si="1"/>
        <v>0</v>
      </c>
      <c r="M459" s="42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>
      <c r="A460" s="43"/>
      <c r="B460" s="41"/>
      <c r="C460" s="41"/>
      <c r="D460" s="41"/>
      <c r="E460" s="41"/>
      <c r="F460" s="41"/>
      <c r="G460" s="41"/>
      <c r="H460" s="42"/>
      <c r="I460" s="41"/>
      <c r="J460" s="41"/>
      <c r="K460" s="41"/>
      <c r="L460" s="41">
        <f t="shared" si="1"/>
        <v>0</v>
      </c>
      <c r="M460" s="42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>
      <c r="A461" s="43"/>
      <c r="B461" s="41"/>
      <c r="C461" s="41"/>
      <c r="D461" s="41"/>
      <c r="E461" s="41"/>
      <c r="F461" s="41"/>
      <c r="G461" s="41"/>
      <c r="H461" s="42"/>
      <c r="I461" s="41"/>
      <c r="J461" s="41"/>
      <c r="K461" s="41"/>
      <c r="L461" s="41">
        <f t="shared" si="1"/>
        <v>0</v>
      </c>
      <c r="M461" s="42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>
      <c r="A462" s="43"/>
      <c r="B462" s="41"/>
      <c r="C462" s="41"/>
      <c r="D462" s="41"/>
      <c r="E462" s="41"/>
      <c r="F462" s="41"/>
      <c r="G462" s="41"/>
      <c r="H462" s="42"/>
      <c r="I462" s="41"/>
      <c r="J462" s="41"/>
      <c r="K462" s="41"/>
      <c r="L462" s="41">
        <f t="shared" si="1"/>
        <v>0</v>
      </c>
      <c r="M462" s="42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>
      <c r="A463" s="43"/>
      <c r="B463" s="41"/>
      <c r="C463" s="41"/>
      <c r="D463" s="41"/>
      <c r="E463" s="41"/>
      <c r="F463" s="41"/>
      <c r="G463" s="41"/>
      <c r="H463" s="42"/>
      <c r="I463" s="41"/>
      <c r="J463" s="41"/>
      <c r="K463" s="41"/>
      <c r="L463" s="41">
        <f t="shared" si="1"/>
        <v>0</v>
      </c>
      <c r="M463" s="42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>
      <c r="A464" s="43"/>
      <c r="B464" s="41"/>
      <c r="C464" s="41"/>
      <c r="D464" s="41"/>
      <c r="E464" s="41"/>
      <c r="F464" s="41"/>
      <c r="G464" s="41"/>
      <c r="H464" s="42"/>
      <c r="I464" s="41"/>
      <c r="J464" s="41"/>
      <c r="K464" s="41"/>
      <c r="L464" s="41">
        <f t="shared" si="1"/>
        <v>0</v>
      </c>
      <c r="M464" s="42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>
      <c r="A465" s="43"/>
      <c r="B465" s="41"/>
      <c r="C465" s="41"/>
      <c r="D465" s="41"/>
      <c r="E465" s="41"/>
      <c r="F465" s="41"/>
      <c r="G465" s="41"/>
      <c r="H465" s="42"/>
      <c r="I465" s="41"/>
      <c r="J465" s="41"/>
      <c r="K465" s="41"/>
      <c r="L465" s="41">
        <f t="shared" si="1"/>
        <v>0</v>
      </c>
      <c r="M465" s="42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>
      <c r="A466" s="43"/>
      <c r="B466" s="41"/>
      <c r="C466" s="41"/>
      <c r="D466" s="41"/>
      <c r="E466" s="41"/>
      <c r="F466" s="41"/>
      <c r="G466" s="41"/>
      <c r="H466" s="42"/>
      <c r="I466" s="41"/>
      <c r="J466" s="41"/>
      <c r="K466" s="41"/>
      <c r="L466" s="41">
        <f t="shared" si="1"/>
        <v>0</v>
      </c>
      <c r="M466" s="42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>
      <c r="A467" s="43"/>
      <c r="B467" s="41"/>
      <c r="C467" s="41"/>
      <c r="D467" s="41"/>
      <c r="E467" s="41"/>
      <c r="F467" s="41"/>
      <c r="G467" s="41"/>
      <c r="H467" s="42"/>
      <c r="I467" s="41"/>
      <c r="J467" s="41"/>
      <c r="K467" s="41"/>
      <c r="L467" s="41">
        <f t="shared" si="1"/>
        <v>0</v>
      </c>
      <c r="M467" s="42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>
      <c r="A468" s="43"/>
      <c r="B468" s="41"/>
      <c r="C468" s="40"/>
      <c r="D468" s="40"/>
      <c r="E468" s="40"/>
      <c r="F468" s="41"/>
      <c r="G468" s="42"/>
      <c r="H468" s="42"/>
      <c r="I468" s="40"/>
      <c r="J468" s="40"/>
      <c r="K468" s="40"/>
      <c r="L468" s="40">
        <f t="shared" si="1"/>
        <v>0</v>
      </c>
      <c r="M468" s="42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>
      <c r="A469" s="43"/>
      <c r="B469" s="41"/>
      <c r="C469" s="41"/>
      <c r="D469" s="41"/>
      <c r="E469" s="41"/>
      <c r="F469" s="41"/>
      <c r="G469" s="41"/>
      <c r="H469" s="42"/>
      <c r="I469" s="41"/>
      <c r="J469" s="41"/>
      <c r="K469" s="41"/>
      <c r="L469" s="41">
        <f t="shared" si="1"/>
        <v>0</v>
      </c>
      <c r="M469" s="42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>
      <c r="A470" s="43"/>
      <c r="B470" s="41"/>
      <c r="C470" s="41"/>
      <c r="D470" s="41"/>
      <c r="E470" s="41"/>
      <c r="F470" s="41"/>
      <c r="G470" s="41"/>
      <c r="H470" s="42"/>
      <c r="I470" s="41"/>
      <c r="J470" s="41"/>
      <c r="K470" s="41"/>
      <c r="L470" s="41">
        <f t="shared" si="1"/>
        <v>0</v>
      </c>
      <c r="M470" s="42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>
      <c r="A471" s="43"/>
      <c r="B471" s="41"/>
      <c r="C471" s="41"/>
      <c r="D471" s="41"/>
      <c r="E471" s="41"/>
      <c r="F471" s="41"/>
      <c r="G471" s="41"/>
      <c r="H471" s="42"/>
      <c r="I471" s="41"/>
      <c r="J471" s="41"/>
      <c r="K471" s="41"/>
      <c r="L471" s="41">
        <f t="shared" si="1"/>
        <v>0</v>
      </c>
      <c r="M471" s="42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>
      <c r="A472" s="43"/>
      <c r="B472" s="41"/>
      <c r="C472" s="40"/>
      <c r="D472" s="40"/>
      <c r="E472" s="40"/>
      <c r="F472" s="41"/>
      <c r="G472" s="42"/>
      <c r="H472" s="42"/>
      <c r="I472" s="40"/>
      <c r="J472" s="40"/>
      <c r="K472" s="40"/>
      <c r="L472" s="40">
        <f t="shared" si="1"/>
        <v>0</v>
      </c>
      <c r="M472" s="42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>
      <c r="A473" s="43"/>
      <c r="B473" s="41"/>
      <c r="C473" s="40"/>
      <c r="D473" s="40"/>
      <c r="E473" s="40"/>
      <c r="F473" s="41"/>
      <c r="G473" s="42"/>
      <c r="H473" s="42"/>
      <c r="I473" s="40"/>
      <c r="J473" s="40"/>
      <c r="K473" s="40"/>
      <c r="L473" s="40">
        <f t="shared" si="1"/>
        <v>0</v>
      </c>
      <c r="M473" s="42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>
      <c r="A474" s="43"/>
      <c r="B474" s="41"/>
      <c r="C474" s="40"/>
      <c r="D474" s="40"/>
      <c r="E474" s="40"/>
      <c r="F474" s="41"/>
      <c r="G474" s="42"/>
      <c r="H474" s="42"/>
      <c r="I474" s="40"/>
      <c r="J474" s="40"/>
      <c r="K474" s="40"/>
      <c r="L474" s="40">
        <f t="shared" si="1"/>
        <v>0</v>
      </c>
      <c r="M474" s="42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>
      <c r="A475" s="43"/>
      <c r="B475" s="41"/>
      <c r="C475" s="41"/>
      <c r="D475" s="41"/>
      <c r="E475" s="41"/>
      <c r="F475" s="41"/>
      <c r="G475" s="41"/>
      <c r="H475" s="42"/>
      <c r="I475" s="41"/>
      <c r="J475" s="41"/>
      <c r="K475" s="41"/>
      <c r="L475" s="41">
        <f t="shared" si="1"/>
        <v>0</v>
      </c>
      <c r="M475" s="42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>
      <c r="A476" s="43"/>
      <c r="B476" s="41"/>
      <c r="C476" s="41"/>
      <c r="D476" s="41"/>
      <c r="E476" s="41"/>
      <c r="F476" s="41"/>
      <c r="G476" s="41"/>
      <c r="H476" s="42"/>
      <c r="I476" s="41"/>
      <c r="J476" s="41"/>
      <c r="K476" s="41"/>
      <c r="L476" s="41">
        <f t="shared" si="1"/>
        <v>0</v>
      </c>
      <c r="M476" s="42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>
      <c r="A477" s="43"/>
      <c r="B477" s="41"/>
      <c r="C477" s="41"/>
      <c r="D477" s="41"/>
      <c r="E477" s="41"/>
      <c r="F477" s="41"/>
      <c r="G477" s="41"/>
      <c r="H477" s="42"/>
      <c r="I477" s="41"/>
      <c r="J477" s="41"/>
      <c r="K477" s="41"/>
      <c r="L477" s="41">
        <f t="shared" si="1"/>
        <v>0</v>
      </c>
      <c r="M477" s="42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>
      <c r="A478" s="43"/>
      <c r="B478" s="41"/>
      <c r="C478" s="40"/>
      <c r="D478" s="40"/>
      <c r="E478" s="40"/>
      <c r="F478" s="42"/>
      <c r="G478" s="42"/>
      <c r="H478" s="42"/>
      <c r="I478" s="40"/>
      <c r="J478" s="40"/>
      <c r="K478" s="40"/>
      <c r="L478" s="40">
        <f t="shared" si="1"/>
        <v>0</v>
      </c>
      <c r="M478" s="42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>
      <c r="A479" s="43"/>
      <c r="B479" s="41"/>
      <c r="C479" s="41"/>
      <c r="D479" s="41"/>
      <c r="E479" s="41"/>
      <c r="F479" s="41"/>
      <c r="G479" s="41"/>
      <c r="H479" s="42"/>
      <c r="I479" s="41"/>
      <c r="J479" s="41"/>
      <c r="K479" s="41"/>
      <c r="L479" s="41">
        <f t="shared" si="1"/>
        <v>0</v>
      </c>
      <c r="M479" s="42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>
      <c r="A480" s="43"/>
      <c r="B480" s="41"/>
      <c r="C480" s="41"/>
      <c r="D480" s="41"/>
      <c r="E480" s="41"/>
      <c r="F480" s="41"/>
      <c r="G480" s="41"/>
      <c r="H480" s="42"/>
      <c r="I480" s="41"/>
      <c r="J480" s="41"/>
      <c r="K480" s="41"/>
      <c r="L480" s="41">
        <f t="shared" si="1"/>
        <v>0</v>
      </c>
      <c r="M480" s="42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>
      <c r="A481" s="43"/>
      <c r="B481" s="41"/>
      <c r="C481" s="41"/>
      <c r="D481" s="41"/>
      <c r="E481" s="41"/>
      <c r="F481" s="41"/>
      <c r="G481" s="41"/>
      <c r="H481" s="42"/>
      <c r="I481" s="41"/>
      <c r="J481" s="41"/>
      <c r="K481" s="41"/>
      <c r="L481" s="41">
        <f t="shared" si="1"/>
        <v>0</v>
      </c>
      <c r="M481" s="42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>
      <c r="A482" s="43"/>
      <c r="B482" s="41"/>
      <c r="C482" s="41"/>
      <c r="D482" s="41"/>
      <c r="E482" s="41"/>
      <c r="F482" s="41"/>
      <c r="G482" s="41"/>
      <c r="H482" s="42"/>
      <c r="I482" s="41"/>
      <c r="J482" s="41"/>
      <c r="K482" s="41"/>
      <c r="L482" s="41">
        <f t="shared" si="1"/>
        <v>0</v>
      </c>
      <c r="M482" s="42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>
      <c r="A483" s="43"/>
      <c r="B483" s="41"/>
      <c r="C483" s="41"/>
      <c r="D483" s="41"/>
      <c r="E483" s="41"/>
      <c r="F483" s="41"/>
      <c r="G483" s="41"/>
      <c r="H483" s="42"/>
      <c r="I483" s="41"/>
      <c r="J483" s="41"/>
      <c r="K483" s="41"/>
      <c r="L483" s="41">
        <f t="shared" si="1"/>
        <v>0</v>
      </c>
      <c r="M483" s="42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>
      <c r="A484" s="43"/>
      <c r="B484" s="41"/>
      <c r="C484" s="41"/>
      <c r="D484" s="41"/>
      <c r="E484" s="41"/>
      <c r="F484" s="41"/>
      <c r="G484" s="41"/>
      <c r="H484" s="42"/>
      <c r="I484" s="41"/>
      <c r="J484" s="41"/>
      <c r="K484" s="41"/>
      <c r="L484" s="41">
        <f t="shared" si="1"/>
        <v>0</v>
      </c>
      <c r="M484" s="42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>
      <c r="A485" s="43"/>
      <c r="B485" s="41"/>
      <c r="C485" s="41"/>
      <c r="D485" s="41"/>
      <c r="E485" s="41"/>
      <c r="F485" s="41"/>
      <c r="G485" s="41"/>
      <c r="H485" s="42"/>
      <c r="I485" s="41"/>
      <c r="J485" s="41"/>
      <c r="K485" s="41"/>
      <c r="L485" s="41">
        <f t="shared" si="1"/>
        <v>0</v>
      </c>
      <c r="M485" s="42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>
      <c r="A486" s="43"/>
      <c r="B486" s="41"/>
      <c r="C486" s="41"/>
      <c r="D486" s="41"/>
      <c r="E486" s="41"/>
      <c r="F486" s="41"/>
      <c r="G486" s="41"/>
      <c r="H486" s="42"/>
      <c r="I486" s="41"/>
      <c r="J486" s="41"/>
      <c r="K486" s="41"/>
      <c r="L486" s="41">
        <f t="shared" si="1"/>
        <v>0</v>
      </c>
      <c r="M486" s="42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>
      <c r="A487" s="43"/>
      <c r="B487" s="41"/>
      <c r="C487" s="41"/>
      <c r="D487" s="41"/>
      <c r="E487" s="41"/>
      <c r="F487" s="41"/>
      <c r="G487" s="41"/>
      <c r="H487" s="42"/>
      <c r="I487" s="41"/>
      <c r="J487" s="41"/>
      <c r="K487" s="41"/>
      <c r="L487" s="41">
        <f t="shared" si="1"/>
        <v>0</v>
      </c>
      <c r="M487" s="42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>
      <c r="A488" s="43"/>
      <c r="B488" s="41"/>
      <c r="C488" s="41"/>
      <c r="D488" s="41"/>
      <c r="E488" s="41"/>
      <c r="F488" s="41"/>
      <c r="G488" s="41"/>
      <c r="H488" s="42"/>
      <c r="I488" s="41"/>
      <c r="J488" s="41"/>
      <c r="K488" s="41"/>
      <c r="L488" s="41">
        <f t="shared" si="1"/>
        <v>0</v>
      </c>
      <c r="M488" s="42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>
      <c r="A489" s="43"/>
      <c r="B489" s="41"/>
      <c r="C489" s="41"/>
      <c r="D489" s="41"/>
      <c r="E489" s="41"/>
      <c r="F489" s="41"/>
      <c r="G489" s="41"/>
      <c r="H489" s="42"/>
      <c r="I489" s="41"/>
      <c r="J489" s="41"/>
      <c r="K489" s="41"/>
      <c r="L489" s="41">
        <f t="shared" si="1"/>
        <v>0</v>
      </c>
      <c r="M489" s="42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>
      <c r="A490" s="43"/>
      <c r="B490" s="41"/>
      <c r="C490" s="41"/>
      <c r="D490" s="41"/>
      <c r="E490" s="41"/>
      <c r="F490" s="41"/>
      <c r="G490" s="41"/>
      <c r="H490" s="42"/>
      <c r="I490" s="41"/>
      <c r="J490" s="41"/>
      <c r="K490" s="41"/>
      <c r="L490" s="41">
        <f t="shared" si="1"/>
        <v>0</v>
      </c>
      <c r="M490" s="42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>
      <c r="A491" s="43"/>
      <c r="B491" s="41"/>
      <c r="C491" s="41"/>
      <c r="D491" s="41"/>
      <c r="E491" s="41"/>
      <c r="F491" s="41"/>
      <c r="G491" s="41"/>
      <c r="H491" s="42"/>
      <c r="I491" s="41"/>
      <c r="J491" s="41"/>
      <c r="K491" s="41"/>
      <c r="L491" s="41">
        <f t="shared" si="1"/>
        <v>0</v>
      </c>
      <c r="M491" s="42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>
      <c r="A492" s="43"/>
      <c r="B492" s="41"/>
      <c r="C492" s="41"/>
      <c r="D492" s="41"/>
      <c r="E492" s="41"/>
      <c r="F492" s="41"/>
      <c r="G492" s="41"/>
      <c r="H492" s="42"/>
      <c r="I492" s="41"/>
      <c r="J492" s="41"/>
      <c r="K492" s="41"/>
      <c r="L492" s="41">
        <f t="shared" si="1"/>
        <v>0</v>
      </c>
      <c r="M492" s="42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>
      <c r="A493" s="43"/>
      <c r="B493" s="41"/>
      <c r="C493" s="41"/>
      <c r="D493" s="41"/>
      <c r="E493" s="41"/>
      <c r="F493" s="41"/>
      <c r="G493" s="41"/>
      <c r="H493" s="42"/>
      <c r="I493" s="41"/>
      <c r="J493" s="41"/>
      <c r="K493" s="41"/>
      <c r="L493" s="41">
        <f t="shared" si="1"/>
        <v>0</v>
      </c>
      <c r="M493" s="42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>
      <c r="A494" s="43"/>
      <c r="B494" s="41"/>
      <c r="C494" s="41"/>
      <c r="D494" s="41"/>
      <c r="E494" s="41"/>
      <c r="F494" s="41"/>
      <c r="G494" s="41"/>
      <c r="H494" s="42"/>
      <c r="I494" s="41"/>
      <c r="J494" s="41"/>
      <c r="K494" s="41"/>
      <c r="L494" s="41">
        <f t="shared" si="1"/>
        <v>0</v>
      </c>
      <c r="M494" s="42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>
      <c r="A495" s="43"/>
      <c r="B495" s="41"/>
      <c r="C495" s="40"/>
      <c r="D495" s="40"/>
      <c r="E495" s="40"/>
      <c r="F495" s="41"/>
      <c r="G495" s="42"/>
      <c r="H495" s="42"/>
      <c r="I495" s="40"/>
      <c r="J495" s="40"/>
      <c r="K495" s="40"/>
      <c r="L495" s="40">
        <f t="shared" si="1"/>
        <v>0</v>
      </c>
      <c r="M495" s="42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>
      <c r="A496" s="43"/>
      <c r="B496" s="41"/>
      <c r="C496" s="41"/>
      <c r="D496" s="41"/>
      <c r="E496" s="41"/>
      <c r="F496" s="41"/>
      <c r="G496" s="41"/>
      <c r="H496" s="42"/>
      <c r="I496" s="41"/>
      <c r="J496" s="41"/>
      <c r="K496" s="41"/>
      <c r="L496" s="41">
        <f t="shared" si="1"/>
        <v>0</v>
      </c>
      <c r="M496" s="42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>
      <c r="A497" s="43"/>
      <c r="B497" s="41"/>
      <c r="C497" s="41"/>
      <c r="D497" s="41"/>
      <c r="E497" s="41"/>
      <c r="F497" s="41"/>
      <c r="G497" s="41"/>
      <c r="H497" s="42"/>
      <c r="I497" s="41"/>
      <c r="J497" s="41"/>
      <c r="K497" s="41"/>
      <c r="L497" s="41">
        <f t="shared" si="1"/>
        <v>0</v>
      </c>
      <c r="M497" s="42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>
      <c r="A498" s="43"/>
      <c r="B498" s="41"/>
      <c r="C498" s="41"/>
      <c r="D498" s="41"/>
      <c r="E498" s="41"/>
      <c r="F498" s="41"/>
      <c r="G498" s="41"/>
      <c r="H498" s="42"/>
      <c r="I498" s="41"/>
      <c r="J498" s="41"/>
      <c r="K498" s="41"/>
      <c r="L498" s="41">
        <f t="shared" si="1"/>
        <v>0</v>
      </c>
      <c r="M498" s="42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>
      <c r="A499" s="43"/>
      <c r="B499" s="41"/>
      <c r="C499" s="41"/>
      <c r="D499" s="41"/>
      <c r="E499" s="41"/>
      <c r="F499" s="41"/>
      <c r="G499" s="41"/>
      <c r="H499" s="42"/>
      <c r="I499" s="41"/>
      <c r="J499" s="41"/>
      <c r="K499" s="41"/>
      <c r="L499" s="41">
        <f t="shared" si="1"/>
        <v>0</v>
      </c>
      <c r="M499" s="42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>
      <c r="A500" s="43"/>
      <c r="B500" s="41"/>
      <c r="C500" s="41"/>
      <c r="D500" s="41"/>
      <c r="E500" s="41"/>
      <c r="F500" s="41"/>
      <c r="G500" s="41"/>
      <c r="H500" s="42"/>
      <c r="I500" s="41"/>
      <c r="J500" s="41"/>
      <c r="K500" s="41"/>
      <c r="L500" s="41">
        <f t="shared" si="1"/>
        <v>0</v>
      </c>
      <c r="M500" s="42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>
      <c r="A501" s="43"/>
      <c r="B501" s="41"/>
      <c r="C501" s="41"/>
      <c r="D501" s="41"/>
      <c r="E501" s="41"/>
      <c r="F501" s="41"/>
      <c r="G501" s="41"/>
      <c r="H501" s="42"/>
      <c r="I501" s="41"/>
      <c r="J501" s="41"/>
      <c r="K501" s="41"/>
      <c r="L501" s="41">
        <f t="shared" si="1"/>
        <v>0</v>
      </c>
      <c r="M501" s="42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>
      <c r="A502" s="43"/>
      <c r="B502" s="41"/>
      <c r="C502" s="41"/>
      <c r="D502" s="41"/>
      <c r="E502" s="41"/>
      <c r="F502" s="41"/>
      <c r="G502" s="41"/>
      <c r="H502" s="42"/>
      <c r="I502" s="41"/>
      <c r="J502" s="41"/>
      <c r="K502" s="41"/>
      <c r="L502" s="41">
        <f t="shared" si="1"/>
        <v>0</v>
      </c>
      <c r="M502" s="42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>
      <c r="A503" s="43"/>
      <c r="B503" s="41"/>
      <c r="C503" s="41"/>
      <c r="D503" s="41"/>
      <c r="E503" s="41"/>
      <c r="F503" s="41"/>
      <c r="G503" s="41"/>
      <c r="H503" s="42"/>
      <c r="I503" s="41"/>
      <c r="J503" s="41"/>
      <c r="K503" s="41"/>
      <c r="L503" s="41">
        <f t="shared" si="1"/>
        <v>0</v>
      </c>
      <c r="M503" s="42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>
      <c r="A504" s="43"/>
      <c r="B504" s="41"/>
      <c r="C504" s="41"/>
      <c r="D504" s="41"/>
      <c r="E504" s="41"/>
      <c r="F504" s="41"/>
      <c r="G504" s="41"/>
      <c r="H504" s="42"/>
      <c r="I504" s="41"/>
      <c r="J504" s="41"/>
      <c r="K504" s="41"/>
      <c r="L504" s="41">
        <f t="shared" si="1"/>
        <v>0</v>
      </c>
      <c r="M504" s="42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>
      <c r="A505" s="43"/>
      <c r="B505" s="41"/>
      <c r="C505" s="41"/>
      <c r="D505" s="41"/>
      <c r="E505" s="41"/>
      <c r="F505" s="41"/>
      <c r="G505" s="41"/>
      <c r="H505" s="42"/>
      <c r="I505" s="41"/>
      <c r="J505" s="41"/>
      <c r="K505" s="41"/>
      <c r="L505" s="41">
        <f t="shared" si="1"/>
        <v>0</v>
      </c>
      <c r="M505" s="42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>
      <c r="A506" s="43"/>
      <c r="B506" s="41"/>
      <c r="C506" s="41"/>
      <c r="D506" s="41"/>
      <c r="E506" s="41"/>
      <c r="F506" s="41"/>
      <c r="G506" s="41"/>
      <c r="H506" s="42"/>
      <c r="I506" s="41"/>
      <c r="J506" s="41"/>
      <c r="K506" s="41"/>
      <c r="L506" s="41">
        <f t="shared" si="1"/>
        <v>0</v>
      </c>
      <c r="M506" s="42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>
      <c r="A507" s="43"/>
      <c r="B507" s="41"/>
      <c r="C507" s="41"/>
      <c r="D507" s="41"/>
      <c r="E507" s="41"/>
      <c r="F507" s="41"/>
      <c r="G507" s="41"/>
      <c r="H507" s="42"/>
      <c r="I507" s="41"/>
      <c r="J507" s="41"/>
      <c r="K507" s="41"/>
      <c r="L507" s="41">
        <f t="shared" si="1"/>
        <v>0</v>
      </c>
      <c r="M507" s="42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>
      <c r="A508" s="43"/>
      <c r="B508" s="41"/>
      <c r="C508" s="41"/>
      <c r="D508" s="41"/>
      <c r="E508" s="41"/>
      <c r="F508" s="41"/>
      <c r="G508" s="41"/>
      <c r="H508" s="42"/>
      <c r="I508" s="41"/>
      <c r="J508" s="41"/>
      <c r="K508" s="41"/>
      <c r="L508" s="41">
        <f t="shared" si="1"/>
        <v>0</v>
      </c>
      <c r="M508" s="42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>
      <c r="A509" s="43"/>
      <c r="B509" s="41"/>
      <c r="C509" s="41"/>
      <c r="D509" s="41"/>
      <c r="E509" s="41"/>
      <c r="F509" s="41"/>
      <c r="G509" s="41"/>
      <c r="H509" s="42"/>
      <c r="I509" s="41"/>
      <c r="J509" s="41"/>
      <c r="K509" s="41"/>
      <c r="L509" s="41">
        <f t="shared" si="1"/>
        <v>0</v>
      </c>
      <c r="M509" s="42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>
      <c r="A510" s="43"/>
      <c r="B510" s="41"/>
      <c r="C510" s="41"/>
      <c r="D510" s="41"/>
      <c r="E510" s="41"/>
      <c r="F510" s="41"/>
      <c r="G510" s="41"/>
      <c r="H510" s="42"/>
      <c r="I510" s="41"/>
      <c r="J510" s="41"/>
      <c r="K510" s="41"/>
      <c r="L510" s="41">
        <f t="shared" si="1"/>
        <v>0</v>
      </c>
      <c r="M510" s="42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>
      <c r="A511" s="43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>
        <f t="shared" si="1"/>
        <v>0</v>
      </c>
      <c r="M511" s="42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>
      <c r="A512" s="43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>
        <f t="shared" si="1"/>
        <v>0</v>
      </c>
      <c r="M512" s="42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>
      <c r="A513" s="43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>
        <f t="shared" si="1"/>
        <v>0</v>
      </c>
      <c r="M513" s="42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>
      <c r="A514" s="43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>
        <f t="shared" si="1"/>
        <v>0</v>
      </c>
      <c r="M514" s="42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>
      <c r="A515" s="43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>
        <f t="shared" si="1"/>
        <v>0</v>
      </c>
      <c r="M515" s="42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>
      <c r="A516" s="43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>
        <f t="shared" si="1"/>
        <v>0</v>
      </c>
      <c r="M516" s="42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>
      <c r="A517" s="43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>
        <f t="shared" si="1"/>
        <v>0</v>
      </c>
      <c r="M517" s="42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>
      <c r="A518" s="43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>
        <f t="shared" si="1"/>
        <v>0</v>
      </c>
      <c r="M518" s="42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>
      <c r="A519" s="43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>
        <f t="shared" si="1"/>
        <v>0</v>
      </c>
      <c r="M519" s="42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>
      <c r="A520" s="43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>
        <f t="shared" si="1"/>
        <v>0</v>
      </c>
      <c r="M520" s="42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>
      <c r="A521" s="43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>
        <f t="shared" si="1"/>
        <v>0</v>
      </c>
      <c r="M521" s="42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>
      <c r="A522" s="43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>
        <f t="shared" si="1"/>
        <v>0</v>
      </c>
      <c r="M522" s="42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>
      <c r="A523" s="43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>
        <f t="shared" si="1"/>
        <v>0</v>
      </c>
      <c r="M523" s="42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>
      <c r="A524" s="43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>
        <f t="shared" si="1"/>
        <v>0</v>
      </c>
      <c r="M524" s="42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>
      <c r="A525" s="43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>
        <f t="shared" si="1"/>
        <v>0</v>
      </c>
      <c r="M525" s="42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>
      <c r="A526" s="43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>
        <f t="shared" si="1"/>
        <v>0</v>
      </c>
      <c r="M526" s="42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>
      <c r="A527" s="43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>
        <f t="shared" si="1"/>
        <v>0</v>
      </c>
      <c r="M527" s="42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>
      <c r="A528" s="43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>
        <f t="shared" si="1"/>
        <v>0</v>
      </c>
      <c r="M528" s="42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>
      <c r="A529" s="43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>
        <f t="shared" si="1"/>
        <v>0</v>
      </c>
      <c r="M529" s="42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>
      <c r="A530" s="43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>
        <f t="shared" si="1"/>
        <v>0</v>
      </c>
      <c r="M530" s="42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>
      <c r="A531" s="43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>
        <f t="shared" si="1"/>
        <v>0</v>
      </c>
      <c r="M531" s="42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>
      <c r="A532" s="43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>
        <f t="shared" si="1"/>
        <v>0</v>
      </c>
      <c r="M532" s="42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>
      <c r="A533" s="43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>
        <f t="shared" si="1"/>
        <v>0</v>
      </c>
      <c r="M533" s="42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>
      <c r="A534" s="43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>
        <f t="shared" si="1"/>
        <v>0</v>
      </c>
      <c r="M534" s="42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>
      <c r="A535" s="43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>
        <f t="shared" si="1"/>
        <v>0</v>
      </c>
      <c r="M535" s="42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>
      <c r="A536" s="43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>
        <f t="shared" si="1"/>
        <v>0</v>
      </c>
      <c r="M536" s="42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>
      <c r="A537" s="43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>
        <f t="shared" si="1"/>
        <v>0</v>
      </c>
      <c r="M537" s="42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>
      <c r="A538" s="43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>
        <f t="shared" si="1"/>
        <v>0</v>
      </c>
      <c r="M538" s="42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>
      <c r="A539" s="43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>
        <f t="shared" si="1"/>
        <v>0</v>
      </c>
      <c r="M539" s="42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>
      <c r="A540" s="43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>
        <f t="shared" si="1"/>
        <v>0</v>
      </c>
      <c r="M540" s="42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>
      <c r="A541" s="43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>
        <f t="shared" si="1"/>
        <v>0</v>
      </c>
      <c r="M541" s="42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>
      <c r="A542" s="43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>
        <f t="shared" si="1"/>
        <v>0</v>
      </c>
      <c r="M542" s="42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>
      <c r="A543" s="43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>
        <f t="shared" si="1"/>
        <v>0</v>
      </c>
      <c r="M543" s="42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>
      <c r="A544" s="43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>
        <f t="shared" si="1"/>
        <v>0</v>
      </c>
      <c r="M544" s="42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>
      <c r="A545" s="43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>
        <f t="shared" si="1"/>
        <v>0</v>
      </c>
      <c r="M545" s="42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>
      <c r="A546" s="43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>
        <f t="shared" si="1"/>
        <v>0</v>
      </c>
      <c r="M546" s="42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>
      <c r="A547" s="43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>
        <f t="shared" si="1"/>
        <v>0</v>
      </c>
      <c r="M547" s="42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>
      <c r="A548" s="43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>
        <f t="shared" si="1"/>
        <v>0</v>
      </c>
      <c r="M548" s="42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>
      <c r="A549" s="43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>
        <f t="shared" si="1"/>
        <v>0</v>
      </c>
      <c r="M549" s="42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>
      <c r="A550" s="43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>
        <f t="shared" si="1"/>
        <v>0</v>
      </c>
      <c r="M550" s="42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>
      <c r="A551" s="43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>
        <f t="shared" si="1"/>
        <v>0</v>
      </c>
      <c r="M551" s="42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>
      <c r="A552" s="43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>
        <f t="shared" si="1"/>
        <v>0</v>
      </c>
      <c r="M552" s="42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>
      <c r="A553" s="43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>
        <f t="shared" si="1"/>
        <v>0</v>
      </c>
      <c r="M553" s="42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>
      <c r="A554" s="43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>
        <f t="shared" si="1"/>
        <v>0</v>
      </c>
      <c r="M554" s="42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>
      <c r="A555" s="43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>
        <f t="shared" si="1"/>
        <v>0</v>
      </c>
      <c r="M555" s="42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>
      <c r="A556" s="43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>
        <f t="shared" si="1"/>
        <v>0</v>
      </c>
      <c r="M556" s="42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>
      <c r="A557" s="43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>
        <f t="shared" si="1"/>
        <v>0</v>
      </c>
      <c r="M557" s="42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>
      <c r="A558" s="43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>
        <f t="shared" si="1"/>
        <v>0</v>
      </c>
      <c r="M558" s="42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>
      <c r="A559" s="43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>
        <f t="shared" si="1"/>
        <v>0</v>
      </c>
      <c r="M559" s="42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>
      <c r="A560" s="43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>
        <f t="shared" si="1"/>
        <v>0</v>
      </c>
      <c r="M560" s="42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>
      <c r="A561" s="43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>
        <f t="shared" si="1"/>
        <v>0</v>
      </c>
      <c r="M561" s="42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>
      <c r="A562" s="43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>
        <f t="shared" si="1"/>
        <v>0</v>
      </c>
      <c r="M562" s="42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>
      <c r="A563" s="43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>
        <f t="shared" si="1"/>
        <v>0</v>
      </c>
      <c r="M563" s="42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>
      <c r="A564" s="43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>
        <f t="shared" si="1"/>
        <v>0</v>
      </c>
      <c r="M564" s="42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>
      <c r="A565" s="43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>
        <f t="shared" si="1"/>
        <v>0</v>
      </c>
      <c r="M565" s="42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>
      <c r="A566" s="43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>
        <f t="shared" si="1"/>
        <v>0</v>
      </c>
      <c r="M566" s="42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>
      <c r="A567" s="43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>
        <f t="shared" si="1"/>
        <v>0</v>
      </c>
      <c r="M567" s="42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>
      <c r="A568" s="43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>
        <f t="shared" si="1"/>
        <v>0</v>
      </c>
      <c r="M568" s="42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>
      <c r="A569" s="43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>
        <f t="shared" si="1"/>
        <v>0</v>
      </c>
      <c r="M569" s="42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>
      <c r="A570" s="43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>
        <f t="shared" si="1"/>
        <v>0</v>
      </c>
      <c r="M570" s="42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>
      <c r="A571" s="43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>
        <f t="shared" si="1"/>
        <v>0</v>
      </c>
      <c r="M571" s="42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>
      <c r="A572" s="43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>
        <f t="shared" si="1"/>
        <v>0</v>
      </c>
      <c r="M572" s="42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>
      <c r="A573" s="43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>
        <f t="shared" si="1"/>
        <v>0</v>
      </c>
      <c r="M573" s="42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>
      <c r="A574" s="43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>
        <f t="shared" si="1"/>
        <v>0</v>
      </c>
      <c r="M574" s="42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>
      <c r="A575" s="43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>
        <f t="shared" si="1"/>
        <v>0</v>
      </c>
      <c r="M575" s="42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>
      <c r="A576" s="43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>
        <f t="shared" si="1"/>
        <v>0</v>
      </c>
      <c r="M576" s="42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>
      <c r="A577" s="43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>
        <f t="shared" si="1"/>
        <v>0</v>
      </c>
      <c r="M577" s="42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>
      <c r="A578" s="43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>
        <f t="shared" si="1"/>
        <v>0</v>
      </c>
      <c r="M578" s="42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>
      <c r="A579" s="43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>
        <f t="shared" si="1"/>
        <v>0</v>
      </c>
      <c r="M579" s="42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>
      <c r="A580" s="43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>
        <f t="shared" si="1"/>
        <v>0</v>
      </c>
      <c r="M580" s="42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>
      <c r="A581" s="43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>
        <f t="shared" si="1"/>
        <v>0</v>
      </c>
      <c r="M581" s="42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>
      <c r="A582" s="43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>
        <f t="shared" si="1"/>
        <v>0</v>
      </c>
      <c r="M582" s="42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>
      <c r="A583" s="43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>
        <f t="shared" si="1"/>
        <v>0</v>
      </c>
      <c r="M583" s="42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>
      <c r="A584" s="43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>
        <f t="shared" si="1"/>
        <v>0</v>
      </c>
      <c r="M584" s="42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>
      <c r="A585" s="43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>
        <f t="shared" si="1"/>
        <v>0</v>
      </c>
      <c r="M585" s="42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>
      <c r="A586" s="43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>
        <f t="shared" si="1"/>
        <v>0</v>
      </c>
      <c r="M586" s="42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>
      <c r="A587" s="43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>
        <f t="shared" si="1"/>
        <v>0</v>
      </c>
      <c r="M587" s="42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>
      <c r="A588" s="43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>
        <f t="shared" si="1"/>
        <v>0</v>
      </c>
      <c r="M588" s="42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>
      <c r="A589" s="43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>
        <f t="shared" si="1"/>
        <v>0</v>
      </c>
      <c r="M589" s="42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>
      <c r="A590" s="43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>
        <f t="shared" si="1"/>
        <v>0</v>
      </c>
      <c r="M590" s="42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>
      <c r="A591" s="43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>
        <f t="shared" si="1"/>
        <v>0</v>
      </c>
      <c r="M591" s="42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>
      <c r="A592" s="43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>
        <f t="shared" si="1"/>
        <v>0</v>
      </c>
      <c r="M592" s="42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>
      <c r="A593" s="43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>
        <f t="shared" si="1"/>
        <v>0</v>
      </c>
      <c r="M593" s="42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>
      <c r="A594" s="43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>
        <f t="shared" si="1"/>
        <v>0</v>
      </c>
      <c r="M594" s="42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>
      <c r="A595" s="43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>
        <f t="shared" si="1"/>
        <v>0</v>
      </c>
      <c r="M595" s="42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>
      <c r="A596" s="43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>
        <f t="shared" si="1"/>
        <v>0</v>
      </c>
      <c r="M596" s="42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>
      <c r="A597" s="43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>
        <f t="shared" si="1"/>
        <v>0</v>
      </c>
      <c r="M597" s="42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>
      <c r="A598" s="43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>
        <f t="shared" si="1"/>
        <v>0</v>
      </c>
      <c r="M598" s="42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>
      <c r="A599" s="43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>
        <f t="shared" si="1"/>
        <v>0</v>
      </c>
      <c r="M599" s="42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>
      <c r="A600" s="43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>
        <f t="shared" si="1"/>
        <v>0</v>
      </c>
      <c r="M600" s="42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>
      <c r="A601" s="43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>
        <f t="shared" si="1"/>
        <v>0</v>
      </c>
      <c r="M601" s="42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>
      <c r="A602" s="43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>
        <f t="shared" si="1"/>
        <v>0</v>
      </c>
      <c r="M602" s="42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>
      <c r="A603" s="43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>
        <f t="shared" si="1"/>
        <v>0</v>
      </c>
      <c r="M603" s="42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>
      <c r="A604" s="43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>
        <f t="shared" si="1"/>
        <v>0</v>
      </c>
      <c r="M604" s="42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>
      <c r="A605" s="43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>
        <f t="shared" si="1"/>
        <v>0</v>
      </c>
      <c r="M605" s="42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>
      <c r="A606" s="43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>
        <f t="shared" si="1"/>
        <v>0</v>
      </c>
      <c r="M606" s="42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>
      <c r="A607" s="43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>
        <f t="shared" si="1"/>
        <v>0</v>
      </c>
      <c r="M607" s="42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>
      <c r="A608" s="43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>
        <f t="shared" si="1"/>
        <v>0</v>
      </c>
      <c r="M608" s="42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>
      <c r="A609" s="43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>
        <f t="shared" si="1"/>
        <v>0</v>
      </c>
      <c r="M609" s="42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>
      <c r="A610" s="43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>
        <f t="shared" si="1"/>
        <v>0</v>
      </c>
      <c r="M610" s="42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>
      <c r="A611" s="43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>
        <f t="shared" si="1"/>
        <v>0</v>
      </c>
      <c r="M611" s="42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>
      <c r="A612" s="43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>
        <f t="shared" si="1"/>
        <v>0</v>
      </c>
      <c r="M612" s="42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>
      <c r="A613" s="43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>
        <f t="shared" si="1"/>
        <v>0</v>
      </c>
      <c r="M613" s="42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>
      <c r="A614" s="43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>
        <f t="shared" si="1"/>
        <v>0</v>
      </c>
      <c r="M614" s="42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>
      <c r="A615" s="43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>
        <f t="shared" si="1"/>
        <v>0</v>
      </c>
      <c r="M615" s="42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>
      <c r="A616" s="43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>
        <f t="shared" si="1"/>
        <v>0</v>
      </c>
      <c r="M616" s="42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>
      <c r="A617" s="43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>
        <f t="shared" si="1"/>
        <v>0</v>
      </c>
      <c r="M617" s="42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>
      <c r="A618" s="43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>
        <f t="shared" si="1"/>
        <v>0</v>
      </c>
      <c r="M618" s="42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>
      <c r="A619" s="43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>
        <f t="shared" si="1"/>
        <v>0</v>
      </c>
      <c r="M619" s="42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>
      <c r="A620" s="43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>
        <f t="shared" si="1"/>
        <v>0</v>
      </c>
      <c r="M620" s="42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>
      <c r="A621" s="43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>
        <f t="shared" si="1"/>
        <v>0</v>
      </c>
      <c r="M621" s="42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>
      <c r="A622" s="43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>
        <f t="shared" si="1"/>
        <v>0</v>
      </c>
      <c r="M622" s="42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>
      <c r="A623" s="43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>
        <f t="shared" si="1"/>
        <v>0</v>
      </c>
      <c r="M623" s="42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>
      <c r="A624" s="43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>
        <f t="shared" si="1"/>
        <v>0</v>
      </c>
      <c r="M624" s="42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>
      <c r="A625" s="43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>
        <f t="shared" si="1"/>
        <v>0</v>
      </c>
      <c r="M625" s="42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>
      <c r="A626" s="43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>
        <f t="shared" si="1"/>
        <v>0</v>
      </c>
      <c r="M626" s="42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>
      <c r="A627" s="43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>
        <f t="shared" si="1"/>
        <v>0</v>
      </c>
      <c r="M627" s="42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>
      <c r="A628" s="43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>
        <f t="shared" si="1"/>
        <v>0</v>
      </c>
      <c r="M628" s="42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>
      <c r="A629" s="43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>
        <f t="shared" si="1"/>
        <v>0</v>
      </c>
      <c r="M629" s="42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>
      <c r="A630" s="43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>
        <f t="shared" si="1"/>
        <v>0</v>
      </c>
      <c r="M630" s="42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>
      <c r="A631" s="43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>
        <f t="shared" si="1"/>
        <v>0</v>
      </c>
      <c r="M631" s="42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>
      <c r="A632" s="43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>
        <f t="shared" si="1"/>
        <v>0</v>
      </c>
      <c r="M632" s="42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>
      <c r="A633" s="43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>
        <f t="shared" si="1"/>
        <v>0</v>
      </c>
      <c r="M633" s="42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>
      <c r="A634" s="43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>
        <f t="shared" si="1"/>
        <v>0</v>
      </c>
      <c r="M634" s="42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>
      <c r="A635" s="43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>
        <f t="shared" si="1"/>
        <v>0</v>
      </c>
      <c r="M635" s="42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>
      <c r="A636" s="43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>
        <f t="shared" si="1"/>
        <v>0</v>
      </c>
      <c r="M636" s="42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>
      <c r="A637" s="43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>
        <f t="shared" si="1"/>
        <v>0</v>
      </c>
      <c r="M637" s="42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>
      <c r="A638" s="43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>
        <f t="shared" si="1"/>
        <v>0</v>
      </c>
      <c r="M638" s="42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>
      <c r="A639" s="43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>
        <f t="shared" si="1"/>
        <v>0</v>
      </c>
      <c r="M639" s="42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>
      <c r="A640" s="43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>
        <f t="shared" si="1"/>
        <v>0</v>
      </c>
      <c r="M640" s="42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>
      <c r="A641" s="43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>
        <f t="shared" si="1"/>
        <v>0</v>
      </c>
      <c r="M641" s="42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>
      <c r="A642" s="43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>
        <f t="shared" si="1"/>
        <v>0</v>
      </c>
      <c r="M642" s="42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>
      <c r="A643" s="43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>
        <f t="shared" si="1"/>
        <v>0</v>
      </c>
      <c r="M643" s="42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>
      <c r="A644" s="43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>
        <f t="shared" si="1"/>
        <v>0</v>
      </c>
      <c r="M644" s="42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>
      <c r="A645" s="43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>
        <f t="shared" si="1"/>
        <v>0</v>
      </c>
      <c r="M645" s="42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>
      <c r="A646" s="43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>
        <f t="shared" si="1"/>
        <v>0</v>
      </c>
      <c r="M646" s="42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>
      <c r="A647" s="43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>
        <f t="shared" si="1"/>
        <v>0</v>
      </c>
      <c r="M647" s="42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>
      <c r="A648" s="43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>
        <f t="shared" si="1"/>
        <v>0</v>
      </c>
      <c r="M648" s="42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>
      <c r="A649" s="43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>
        <f t="shared" si="1"/>
        <v>0</v>
      </c>
      <c r="M649" s="42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>
      <c r="A650" s="43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>
        <f t="shared" si="1"/>
        <v>0</v>
      </c>
      <c r="M650" s="42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>
      <c r="A651" s="43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>
        <f t="shared" si="1"/>
        <v>0</v>
      </c>
      <c r="M651" s="42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>
      <c r="A652" s="43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>
        <f t="shared" si="1"/>
        <v>0</v>
      </c>
      <c r="M652" s="42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>
      <c r="A653" s="43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>
        <f t="shared" si="1"/>
        <v>0</v>
      </c>
      <c r="M653" s="42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>
      <c r="A654" s="43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>
        <f t="shared" si="1"/>
        <v>0</v>
      </c>
      <c r="M654" s="42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>
      <c r="A655" s="43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>
        <f t="shared" si="1"/>
        <v>0</v>
      </c>
      <c r="M655" s="42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>
      <c r="A656" s="43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>
        <f t="shared" si="1"/>
        <v>0</v>
      </c>
      <c r="M656" s="42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>
      <c r="A657" s="43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>
        <f t="shared" si="1"/>
        <v>0</v>
      </c>
      <c r="M657" s="42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>
      <c r="A658" s="43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>
        <f t="shared" si="1"/>
        <v>0</v>
      </c>
      <c r="M658" s="42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>
      <c r="A659" s="43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>
        <f t="shared" si="1"/>
        <v>0</v>
      </c>
      <c r="M659" s="42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>
      <c r="A660" s="43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>
        <f t="shared" si="1"/>
        <v>0</v>
      </c>
      <c r="M660" s="42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>
      <c r="A661" s="43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>
        <f t="shared" si="1"/>
        <v>0</v>
      </c>
      <c r="M661" s="42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>
      <c r="A662" s="43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>
        <f t="shared" si="1"/>
        <v>0</v>
      </c>
      <c r="M662" s="42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>
      <c r="A663" s="43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>
        <f t="shared" si="1"/>
        <v>0</v>
      </c>
      <c r="M663" s="42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>
      <c r="A664" s="43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>
        <f t="shared" si="1"/>
        <v>0</v>
      </c>
      <c r="M664" s="42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>
      <c r="A665" s="43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>
        <f t="shared" si="1"/>
        <v>0</v>
      </c>
      <c r="M665" s="42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>
      <c r="A666" s="43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>
        <f t="shared" si="1"/>
        <v>0</v>
      </c>
      <c r="M666" s="42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>
      <c r="A667" s="43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>
        <f t="shared" si="1"/>
        <v>0</v>
      </c>
      <c r="M667" s="42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>
      <c r="A668" s="43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>
        <f t="shared" si="1"/>
        <v>0</v>
      </c>
      <c r="M668" s="42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>
      <c r="A669" s="43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>
        <f t="shared" si="1"/>
        <v>0</v>
      </c>
      <c r="M669" s="42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>
      <c r="A670" s="43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>
        <f t="shared" si="1"/>
        <v>0</v>
      </c>
      <c r="M670" s="42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>
      <c r="A671" s="43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>
        <f t="shared" si="1"/>
        <v>0</v>
      </c>
      <c r="M671" s="42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>
      <c r="A672" s="43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>
        <f t="shared" si="1"/>
        <v>0</v>
      </c>
      <c r="M672" s="42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>
      <c r="A673" s="43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>
        <f t="shared" si="1"/>
        <v>0</v>
      </c>
      <c r="M673" s="42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>
      <c r="A674" s="43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>
        <f t="shared" si="1"/>
        <v>0</v>
      </c>
      <c r="M674" s="42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>
      <c r="A675" s="43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>
        <f t="shared" si="1"/>
        <v>0</v>
      </c>
      <c r="M675" s="42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>
      <c r="A676" s="43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>
        <f t="shared" si="1"/>
        <v>0</v>
      </c>
      <c r="M676" s="42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>
      <c r="A677" s="43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>
        <f t="shared" si="1"/>
        <v>0</v>
      </c>
      <c r="M677" s="42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>
      <c r="A678" s="43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>
        <f t="shared" si="1"/>
        <v>0</v>
      </c>
      <c r="M678" s="42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>
      <c r="A679" s="43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>
        <f t="shared" si="1"/>
        <v>0</v>
      </c>
      <c r="M679" s="42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>
      <c r="A680" s="43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>
        <f t="shared" si="1"/>
        <v>0</v>
      </c>
      <c r="M680" s="42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>
      <c r="A681" s="43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>
        <f t="shared" si="1"/>
        <v>0</v>
      </c>
      <c r="M681" s="42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>
      <c r="A682" s="43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>
        <f t="shared" si="1"/>
        <v>0</v>
      </c>
      <c r="M682" s="42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>
      <c r="A683" s="43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>
        <f t="shared" si="1"/>
        <v>0</v>
      </c>
      <c r="M683" s="42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>
      <c r="A684" s="43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>
        <f t="shared" si="1"/>
        <v>0</v>
      </c>
      <c r="M684" s="42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>
      <c r="A685" s="43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>
        <f t="shared" si="1"/>
        <v>0</v>
      </c>
      <c r="M685" s="42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>
      <c r="A686" s="43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>
        <f t="shared" si="1"/>
        <v>0</v>
      </c>
      <c r="M686" s="42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>
      <c r="A687" s="43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>
        <f t="shared" si="1"/>
        <v>0</v>
      </c>
      <c r="M687" s="42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>
      <c r="A688" s="43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>
        <f t="shared" si="1"/>
        <v>0</v>
      </c>
      <c r="M688" s="42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>
      <c r="A689" s="43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>
        <f t="shared" si="1"/>
        <v>0</v>
      </c>
      <c r="M689" s="42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>
      <c r="A690" s="43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>
        <f t="shared" si="1"/>
        <v>0</v>
      </c>
      <c r="M690" s="42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>
      <c r="A691" s="43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>
        <f t="shared" si="1"/>
        <v>0</v>
      </c>
      <c r="M691" s="42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>
      <c r="A692" s="43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>
        <f t="shared" si="1"/>
        <v>0</v>
      </c>
      <c r="M692" s="42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>
      <c r="A693" s="43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>
        <f t="shared" si="1"/>
        <v>0</v>
      </c>
      <c r="M693" s="42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>
      <c r="A694" s="43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>
        <f t="shared" si="1"/>
        <v>0</v>
      </c>
      <c r="M694" s="42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>
      <c r="A695" s="43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>
        <f t="shared" si="1"/>
        <v>0</v>
      </c>
      <c r="M695" s="42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>
      <c r="A696" s="43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>
        <f t="shared" si="1"/>
        <v>0</v>
      </c>
      <c r="M696" s="42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>
      <c r="A697" s="43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>
        <f t="shared" si="1"/>
        <v>0</v>
      </c>
      <c r="M697" s="42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>
      <c r="A698" s="43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>
        <f t="shared" si="1"/>
        <v>0</v>
      </c>
      <c r="M698" s="42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>
      <c r="A699" s="43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>
        <f t="shared" si="1"/>
        <v>0</v>
      </c>
      <c r="M699" s="42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>
      <c r="A700" s="43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>
        <f t="shared" si="1"/>
        <v>0</v>
      </c>
      <c r="M700" s="42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>
      <c r="A701" s="43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>
        <f t="shared" si="1"/>
        <v>0</v>
      </c>
      <c r="M701" s="42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>
      <c r="A702" s="43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>
        <f t="shared" si="1"/>
        <v>0</v>
      </c>
      <c r="M702" s="42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>
      <c r="A703" s="43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>
        <f t="shared" si="1"/>
        <v>0</v>
      </c>
      <c r="M703" s="42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>
      <c r="A704" s="43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>
        <f t="shared" si="1"/>
        <v>0</v>
      </c>
      <c r="M704" s="42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>
      <c r="A705" s="43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>
        <f t="shared" si="1"/>
        <v>0</v>
      </c>
      <c r="M705" s="42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>
      <c r="A706" s="43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>
        <f t="shared" si="1"/>
        <v>0</v>
      </c>
      <c r="M706" s="42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>
      <c r="A707" s="43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>
        <f t="shared" si="1"/>
        <v>0</v>
      </c>
      <c r="M707" s="42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>
      <c r="A708" s="43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>
        <f t="shared" si="1"/>
        <v>0</v>
      </c>
      <c r="M708" s="42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>
      <c r="A709" s="43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>
        <f t="shared" si="1"/>
        <v>0</v>
      </c>
      <c r="M709" s="42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>
      <c r="A710" s="43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>
        <f t="shared" si="1"/>
        <v>0</v>
      </c>
      <c r="M710" s="42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>
      <c r="A711" s="43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>
        <f t="shared" si="1"/>
        <v>0</v>
      </c>
      <c r="M711" s="42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>
      <c r="A712" s="43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>
        <f t="shared" si="1"/>
        <v>0</v>
      </c>
      <c r="M712" s="42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>
      <c r="A713" s="43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>
        <f t="shared" si="1"/>
        <v>0</v>
      </c>
      <c r="M713" s="42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>
      <c r="A714" s="43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>
        <f t="shared" si="1"/>
        <v>0</v>
      </c>
      <c r="M714" s="42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>
      <c r="A715" s="43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>
        <f t="shared" si="1"/>
        <v>0</v>
      </c>
      <c r="M715" s="42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>
      <c r="A716" s="43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>
        <f t="shared" si="1"/>
        <v>0</v>
      </c>
      <c r="M716" s="42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>
      <c r="A717" s="43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>
        <f t="shared" si="1"/>
        <v>0</v>
      </c>
      <c r="M717" s="42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>
      <c r="A718" s="43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>
        <f t="shared" si="1"/>
        <v>0</v>
      </c>
      <c r="M718" s="42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>
      <c r="A719" s="43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>
        <f t="shared" si="1"/>
        <v>0</v>
      </c>
      <c r="M719" s="42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>
      <c r="A720" s="43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>
        <f t="shared" si="1"/>
        <v>0</v>
      </c>
      <c r="M720" s="42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>
      <c r="A721" s="43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>
        <f t="shared" si="1"/>
        <v>0</v>
      </c>
      <c r="M721" s="42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>
      <c r="A722" s="43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>
        <f t="shared" si="1"/>
        <v>0</v>
      </c>
      <c r="M722" s="42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>
      <c r="A723" s="43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>
        <f t="shared" si="1"/>
        <v>0</v>
      </c>
      <c r="M723" s="42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>
      <c r="A724" s="43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>
        <f t="shared" si="1"/>
        <v>0</v>
      </c>
      <c r="M724" s="42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>
      <c r="A725" s="43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>
        <f t="shared" si="1"/>
        <v>0</v>
      </c>
      <c r="M725" s="42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>
      <c r="A726" s="43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>
        <f t="shared" si="1"/>
        <v>0</v>
      </c>
      <c r="M726" s="42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>
      <c r="A727" s="43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>
        <f t="shared" si="1"/>
        <v>0</v>
      </c>
      <c r="M727" s="42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>
      <c r="A728" s="43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>
        <f t="shared" si="1"/>
        <v>0</v>
      </c>
      <c r="M728" s="42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>
      <c r="A729" s="43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>
        <f t="shared" si="1"/>
        <v>0</v>
      </c>
      <c r="M729" s="42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>
      <c r="A730" s="43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>
        <f t="shared" si="1"/>
        <v>0</v>
      </c>
      <c r="M730" s="42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>
      <c r="A731" s="43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>
        <f t="shared" si="1"/>
        <v>0</v>
      </c>
      <c r="M731" s="42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>
      <c r="A732" s="43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>
        <f t="shared" si="1"/>
        <v>0</v>
      </c>
      <c r="M732" s="42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>
      <c r="A733" s="43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>
        <f t="shared" si="1"/>
        <v>0</v>
      </c>
      <c r="M733" s="42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>
      <c r="A734" s="43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>
        <f t="shared" si="1"/>
        <v>0</v>
      </c>
      <c r="M734" s="42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>
      <c r="A735" s="43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>
        <f t="shared" si="1"/>
        <v>0</v>
      </c>
      <c r="M735" s="42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>
      <c r="A736" s="43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>
        <f t="shared" si="1"/>
        <v>0</v>
      </c>
      <c r="M736" s="42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>
      <c r="A737" s="43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>
        <f t="shared" si="1"/>
        <v>0</v>
      </c>
      <c r="M737" s="42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>
      <c r="A738" s="43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>
        <f t="shared" si="1"/>
        <v>0</v>
      </c>
      <c r="M738" s="42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>
      <c r="A739" s="43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>
        <f t="shared" si="1"/>
        <v>0</v>
      </c>
      <c r="M739" s="42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>
      <c r="A740" s="43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>
        <f t="shared" si="1"/>
        <v>0</v>
      </c>
      <c r="M740" s="42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>
      <c r="A741" s="43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>
        <f t="shared" si="1"/>
        <v>0</v>
      </c>
      <c r="M741" s="42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>
      <c r="A742" s="43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>
        <f t="shared" si="1"/>
        <v>0</v>
      </c>
      <c r="M742" s="42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>
      <c r="A743" s="43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>
        <f t="shared" si="1"/>
        <v>0</v>
      </c>
      <c r="M743" s="42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>
      <c r="A744" s="43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>
        <f t="shared" si="1"/>
        <v>0</v>
      </c>
      <c r="M744" s="42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>
      <c r="A745" s="43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>
        <f t="shared" si="1"/>
        <v>0</v>
      </c>
      <c r="M745" s="42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>
      <c r="A746" s="43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>
        <f t="shared" si="1"/>
        <v>0</v>
      </c>
      <c r="M746" s="42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>
      <c r="A747" s="43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>
        <f t="shared" si="1"/>
        <v>0</v>
      </c>
      <c r="M747" s="42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>
      <c r="A748" s="43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>
        <f t="shared" si="1"/>
        <v>0</v>
      </c>
      <c r="M748" s="42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>
      <c r="A749" s="43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>
        <f t="shared" si="1"/>
        <v>0</v>
      </c>
      <c r="M749" s="42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>
      <c r="A750" s="43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>
        <f t="shared" si="1"/>
        <v>0</v>
      </c>
      <c r="M750" s="42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>
      <c r="A751" s="43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>
        <f t="shared" si="1"/>
        <v>0</v>
      </c>
      <c r="M751" s="42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>
      <c r="A752" s="43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>
        <f t="shared" si="1"/>
        <v>0</v>
      </c>
      <c r="M752" s="42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>
      <c r="A753" s="43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>
        <f t="shared" si="1"/>
        <v>0</v>
      </c>
      <c r="M753" s="42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>
      <c r="A754" s="43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>
        <f t="shared" si="1"/>
        <v>0</v>
      </c>
      <c r="M754" s="42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>
      <c r="A755" s="43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>
        <f t="shared" si="1"/>
        <v>0</v>
      </c>
      <c r="M755" s="42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>
      <c r="A756" s="43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>
        <f t="shared" si="1"/>
        <v>0</v>
      </c>
      <c r="M756" s="42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>
      <c r="A757" s="43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>
        <f t="shared" si="1"/>
        <v>0</v>
      </c>
      <c r="M757" s="42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>
      <c r="A758" s="43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>
        <f t="shared" si="1"/>
        <v>0</v>
      </c>
      <c r="M758" s="42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>
      <c r="A759" s="43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>
        <f t="shared" si="1"/>
        <v>0</v>
      </c>
      <c r="M759" s="42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>
      <c r="A760" s="43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>
        <f t="shared" si="1"/>
        <v>0</v>
      </c>
      <c r="M760" s="42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>
      <c r="A761" s="43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>
        <f t="shared" si="1"/>
        <v>0</v>
      </c>
      <c r="M761" s="42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>
      <c r="A762" s="43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>
        <f t="shared" si="1"/>
        <v>0</v>
      </c>
      <c r="M762" s="42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>
      <c r="A763" s="43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>
        <f t="shared" si="1"/>
        <v>0</v>
      </c>
      <c r="M763" s="42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>
      <c r="A764" s="43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>
        <f t="shared" si="1"/>
        <v>0</v>
      </c>
      <c r="M764" s="42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>
      <c r="A765" s="43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>
        <f t="shared" si="1"/>
        <v>0</v>
      </c>
      <c r="M765" s="42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>
      <c r="A766" s="43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>
        <f t="shared" si="1"/>
        <v>0</v>
      </c>
      <c r="M766" s="42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>
      <c r="A767" s="43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>
        <f t="shared" si="1"/>
        <v>0</v>
      </c>
      <c r="M767" s="42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>
      <c r="A768" s="43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>
        <f t="shared" si="1"/>
        <v>0</v>
      </c>
      <c r="M768" s="42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>
      <c r="A769" s="43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>
        <f t="shared" si="1"/>
        <v>0</v>
      </c>
      <c r="M769" s="42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>
      <c r="A770" s="43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>
        <f t="shared" si="1"/>
        <v>0</v>
      </c>
      <c r="M770" s="42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>
      <c r="A771" s="43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>
        <f t="shared" si="1"/>
        <v>0</v>
      </c>
      <c r="M771" s="42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>
      <c r="A772" s="43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>
        <f t="shared" si="1"/>
        <v>0</v>
      </c>
      <c r="M772" s="42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>
      <c r="A773" s="43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>
        <f t="shared" si="1"/>
        <v>0</v>
      </c>
      <c r="M773" s="42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>
      <c r="A774" s="43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>
        <f t="shared" si="1"/>
        <v>0</v>
      </c>
      <c r="M774" s="42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>
      <c r="A775" s="43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>
        <f t="shared" si="1"/>
        <v>0</v>
      </c>
      <c r="M775" s="42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>
      <c r="A776" s="43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>
        <f t="shared" si="1"/>
        <v>0</v>
      </c>
      <c r="M776" s="42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>
      <c r="A777" s="43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>
        <f t="shared" si="1"/>
        <v>0</v>
      </c>
      <c r="M777" s="42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>
      <c r="A778" s="43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>
        <f t="shared" si="1"/>
        <v>0</v>
      </c>
      <c r="M778" s="42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>
      <c r="A779" s="43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>
        <f t="shared" si="1"/>
        <v>0</v>
      </c>
      <c r="M779" s="42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>
      <c r="A780" s="43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>
        <f t="shared" si="1"/>
        <v>0</v>
      </c>
      <c r="M780" s="42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>
      <c r="A781" s="43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>
        <f t="shared" si="1"/>
        <v>0</v>
      </c>
      <c r="M781" s="42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>
      <c r="A782" s="43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>
        <f t="shared" si="1"/>
        <v>0</v>
      </c>
      <c r="M782" s="42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>
      <c r="A783" s="43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>
        <f t="shared" si="1"/>
        <v>0</v>
      </c>
      <c r="M783" s="42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>
      <c r="A784" s="43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>
        <f t="shared" si="1"/>
        <v>0</v>
      </c>
      <c r="M784" s="42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>
      <c r="A785" s="43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>
        <f t="shared" si="1"/>
        <v>0</v>
      </c>
      <c r="M785" s="42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>
      <c r="A786" s="43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>
        <f t="shared" si="1"/>
        <v>0</v>
      </c>
      <c r="M786" s="42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>
      <c r="A787" s="43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>
        <f t="shared" si="1"/>
        <v>0</v>
      </c>
      <c r="M787" s="42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>
      <c r="A788" s="43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>
        <f t="shared" si="1"/>
        <v>0</v>
      </c>
      <c r="M788" s="42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>
      <c r="A789" s="43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>
        <f t="shared" si="1"/>
        <v>0</v>
      </c>
      <c r="M789" s="42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>
      <c r="A790" s="43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>
        <f t="shared" si="1"/>
        <v>0</v>
      </c>
      <c r="M790" s="42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>
      <c r="A791" s="43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>
        <f t="shared" si="1"/>
        <v>0</v>
      </c>
      <c r="M791" s="42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>
      <c r="A792" s="43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>
        <f t="shared" si="1"/>
        <v>0</v>
      </c>
      <c r="M792" s="42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>
      <c r="A793" s="43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>
        <f t="shared" si="1"/>
        <v>0</v>
      </c>
      <c r="M793" s="42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>
      <c r="A794" s="43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>
        <f t="shared" si="1"/>
        <v>0</v>
      </c>
      <c r="M794" s="42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>
      <c r="A795" s="43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>
        <f t="shared" si="1"/>
        <v>0</v>
      </c>
      <c r="M795" s="42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>
      <c r="A796" s="43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>
        <f t="shared" si="1"/>
        <v>0</v>
      </c>
      <c r="M796" s="42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>
      <c r="A797" s="43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>
        <f t="shared" si="1"/>
        <v>0</v>
      </c>
      <c r="M797" s="42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>
      <c r="A798" s="43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>
        <f t="shared" si="1"/>
        <v>0</v>
      </c>
      <c r="M798" s="42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>
      <c r="A799" s="43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>
        <f t="shared" si="1"/>
        <v>0</v>
      </c>
      <c r="M799" s="42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>
      <c r="A800" s="43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>
        <f t="shared" si="1"/>
        <v>0</v>
      </c>
      <c r="M800" s="42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>
      <c r="A801" s="43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>
        <f t="shared" si="1"/>
        <v>0</v>
      </c>
      <c r="M801" s="42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>
      <c r="A802" s="43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>
        <f t="shared" si="1"/>
        <v>0</v>
      </c>
      <c r="M802" s="42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>
      <c r="A803" s="43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>
        <f t="shared" si="1"/>
        <v>0</v>
      </c>
      <c r="M803" s="42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>
      <c r="A804" s="43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>
        <f t="shared" si="1"/>
        <v>0</v>
      </c>
      <c r="M804" s="42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>
      <c r="A805" s="43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>
        <f t="shared" si="1"/>
        <v>0</v>
      </c>
      <c r="M805" s="42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>
      <c r="A806" s="43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>
        <f t="shared" si="1"/>
        <v>0</v>
      </c>
      <c r="M806" s="42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>
      <c r="A807" s="43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>
        <f t="shared" si="1"/>
        <v>0</v>
      </c>
      <c r="M807" s="42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>
      <c r="A808" s="43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>
        <f t="shared" si="1"/>
        <v>0</v>
      </c>
      <c r="M808" s="42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>
      <c r="A809" s="43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>
        <f t="shared" si="1"/>
        <v>0</v>
      </c>
      <c r="M809" s="42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>
      <c r="A810" s="43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>
        <f t="shared" si="1"/>
        <v>0</v>
      </c>
      <c r="M810" s="42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>
      <c r="A811" s="43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>
        <f t="shared" si="1"/>
        <v>0</v>
      </c>
      <c r="M811" s="42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>
      <c r="A812" s="43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>
        <f t="shared" si="1"/>
        <v>0</v>
      </c>
      <c r="M812" s="42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>
      <c r="A813" s="43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>
        <f t="shared" si="1"/>
        <v>0</v>
      </c>
      <c r="M813" s="42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>
      <c r="A814" s="43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>
        <f t="shared" si="1"/>
        <v>0</v>
      </c>
      <c r="M814" s="42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>
      <c r="A815" s="43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>
        <f t="shared" si="1"/>
        <v>0</v>
      </c>
      <c r="M815" s="42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>
      <c r="A816" s="43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>
        <f t="shared" si="1"/>
        <v>0</v>
      </c>
      <c r="M816" s="42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>
      <c r="A817" s="43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>
        <f t="shared" si="1"/>
        <v>0</v>
      </c>
      <c r="M817" s="42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>
      <c r="A818" s="43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>
        <f t="shared" si="1"/>
        <v>0</v>
      </c>
      <c r="M818" s="42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>
      <c r="A819" s="43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>
        <f t="shared" si="1"/>
        <v>0</v>
      </c>
      <c r="M819" s="42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>
      <c r="A820" s="43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>
        <f t="shared" si="1"/>
        <v>0</v>
      </c>
      <c r="M820" s="42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>
      <c r="A821" s="43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>
        <f t="shared" si="1"/>
        <v>0</v>
      </c>
      <c r="M821" s="42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>
      <c r="A822" s="43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>
        <f t="shared" si="1"/>
        <v>0</v>
      </c>
      <c r="M822" s="42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>
      <c r="A823" s="43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>
        <f t="shared" si="1"/>
        <v>0</v>
      </c>
      <c r="M823" s="42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>
      <c r="A824" s="43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>
        <f t="shared" si="1"/>
        <v>0</v>
      </c>
      <c r="M824" s="42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>
      <c r="A825" s="43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>
        <f t="shared" si="1"/>
        <v>0</v>
      </c>
      <c r="M825" s="42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>
      <c r="A826" s="43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>
        <f t="shared" si="1"/>
        <v>0</v>
      </c>
      <c r="M826" s="42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>
      <c r="A827" s="43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>
        <f t="shared" si="1"/>
        <v>0</v>
      </c>
      <c r="M827" s="42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>
      <c r="A828" s="43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>
        <f t="shared" si="1"/>
        <v>0</v>
      </c>
      <c r="M828" s="42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>
      <c r="A829" s="43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>
        <f t="shared" si="1"/>
        <v>0</v>
      </c>
      <c r="M829" s="42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>
      <c r="A830" s="43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>
        <f t="shared" si="1"/>
        <v>0</v>
      </c>
      <c r="M830" s="42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>
      <c r="A831" s="43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>
        <f t="shared" si="1"/>
        <v>0</v>
      </c>
      <c r="M831" s="42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>
      <c r="A832" s="43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>
        <f t="shared" si="1"/>
        <v>0</v>
      </c>
      <c r="M832" s="42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>
      <c r="A833" s="43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>
        <f t="shared" si="1"/>
        <v>0</v>
      </c>
      <c r="M833" s="42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>
      <c r="A834" s="43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>
        <f t="shared" si="1"/>
        <v>0</v>
      </c>
      <c r="M834" s="42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>
      <c r="A835" s="43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>
        <f t="shared" si="1"/>
        <v>0</v>
      </c>
      <c r="M835" s="42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>
      <c r="A836" s="43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>
        <f t="shared" si="1"/>
        <v>0</v>
      </c>
      <c r="M836" s="42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>
      <c r="A837" s="43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>
        <f t="shared" si="1"/>
        <v>0</v>
      </c>
      <c r="M837" s="42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>
      <c r="A838" s="43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>
        <f t="shared" si="1"/>
        <v>0</v>
      </c>
      <c r="M838" s="42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>
      <c r="A839" s="43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>
        <f t="shared" si="1"/>
        <v>0</v>
      </c>
      <c r="M839" s="42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>
      <c r="A840" s="43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>
        <f t="shared" si="1"/>
        <v>0</v>
      </c>
      <c r="M840" s="42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>
      <c r="A841" s="43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>
        <f t="shared" si="1"/>
        <v>0</v>
      </c>
      <c r="M841" s="42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>
      <c r="A842" s="43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>
        <f t="shared" si="1"/>
        <v>0</v>
      </c>
      <c r="M842" s="42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>
      <c r="A843" s="43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>
        <f t="shared" si="1"/>
        <v>0</v>
      </c>
      <c r="M843" s="42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>
      <c r="A844" s="43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>
        <f t="shared" si="1"/>
        <v>0</v>
      </c>
      <c r="M844" s="42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>
      <c r="A845" s="43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>
        <f t="shared" si="1"/>
        <v>0</v>
      </c>
      <c r="M845" s="42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>
      <c r="A846" s="43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>
        <f t="shared" si="1"/>
        <v>0</v>
      </c>
      <c r="M846" s="42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>
      <c r="A847" s="43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>
        <f t="shared" si="1"/>
        <v>0</v>
      </c>
      <c r="M847" s="42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>
      <c r="A848" s="43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>
        <f t="shared" si="1"/>
        <v>0</v>
      </c>
      <c r="M848" s="42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>
      <c r="A849" s="43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>
        <f t="shared" si="1"/>
        <v>0</v>
      </c>
      <c r="M849" s="42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>
      <c r="A850" s="43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>
        <f t="shared" si="1"/>
        <v>0</v>
      </c>
      <c r="M850" s="42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>
      <c r="A851" s="43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>
        <f t="shared" si="1"/>
        <v>0</v>
      </c>
      <c r="M851" s="42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>
      <c r="A852" s="43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>
        <f t="shared" si="1"/>
        <v>0</v>
      </c>
      <c r="M852" s="42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>
      <c r="A853" s="43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>
        <f t="shared" si="1"/>
        <v>0</v>
      </c>
      <c r="M853" s="42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>
      <c r="A854" s="43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>
        <f t="shared" si="1"/>
        <v>0</v>
      </c>
      <c r="M854" s="42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>
      <c r="A855" s="43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>
        <f t="shared" si="1"/>
        <v>0</v>
      </c>
      <c r="M855" s="42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>
      <c r="A856" s="43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>
        <f t="shared" si="1"/>
        <v>0</v>
      </c>
      <c r="M856" s="42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>
      <c r="A857" s="43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>
        <f t="shared" si="1"/>
        <v>0</v>
      </c>
      <c r="M857" s="42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>
      <c r="A858" s="43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>
        <f t="shared" si="1"/>
        <v>0</v>
      </c>
      <c r="M858" s="42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>
      <c r="A859" s="43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>
        <f t="shared" si="1"/>
        <v>0</v>
      </c>
      <c r="M859" s="42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>
      <c r="A860" s="43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>
        <f t="shared" si="1"/>
        <v>0</v>
      </c>
      <c r="M860" s="42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>
      <c r="A861" s="43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>
        <f t="shared" si="1"/>
        <v>0</v>
      </c>
      <c r="M861" s="42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>
      <c r="A862" s="43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>
        <f t="shared" si="1"/>
        <v>0</v>
      </c>
      <c r="M862" s="42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>
      <c r="A863" s="43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>
        <f t="shared" si="1"/>
        <v>0</v>
      </c>
      <c r="M863" s="42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>
      <c r="A864" s="43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>
        <f t="shared" si="1"/>
        <v>0</v>
      </c>
      <c r="M864" s="42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>
      <c r="A865" s="43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>
        <f t="shared" si="1"/>
        <v>0</v>
      </c>
      <c r="M865" s="42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>
      <c r="A866" s="43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>
        <f t="shared" si="1"/>
        <v>0</v>
      </c>
      <c r="M866" s="42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>
      <c r="A867" s="43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>
        <f t="shared" si="1"/>
        <v>0</v>
      </c>
      <c r="M867" s="42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>
      <c r="A868" s="43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>
        <f t="shared" si="1"/>
        <v>0</v>
      </c>
      <c r="M868" s="42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>
      <c r="A869" s="43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>
        <f t="shared" si="1"/>
        <v>0</v>
      </c>
      <c r="M869" s="42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>
      <c r="A870" s="43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>
        <f t="shared" si="1"/>
        <v>0</v>
      </c>
      <c r="M870" s="42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>
      <c r="A871" s="43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>
        <f t="shared" si="1"/>
        <v>0</v>
      </c>
      <c r="M871" s="42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>
      <c r="A872" s="43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>
        <f t="shared" si="1"/>
        <v>0</v>
      </c>
      <c r="M872" s="42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>
      <c r="A873" s="43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>
        <f t="shared" si="1"/>
        <v>0</v>
      </c>
      <c r="M873" s="42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>
      <c r="A874" s="43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>
        <f t="shared" si="1"/>
        <v>0</v>
      </c>
      <c r="M874" s="42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>
      <c r="A875" s="43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>
        <f t="shared" si="1"/>
        <v>0</v>
      </c>
      <c r="M875" s="42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>
      <c r="A876" s="43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>
        <f t="shared" si="1"/>
        <v>0</v>
      </c>
      <c r="M876" s="42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>
      <c r="A877" s="43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>
        <f t="shared" si="1"/>
        <v>0</v>
      </c>
      <c r="M877" s="42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>
      <c r="A878" s="43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>
        <f t="shared" si="1"/>
        <v>0</v>
      </c>
      <c r="M878" s="42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>
      <c r="A879" s="43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>
        <f t="shared" si="1"/>
        <v>0</v>
      </c>
      <c r="M879" s="42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>
      <c r="A880" s="43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>
        <f t="shared" si="1"/>
        <v>0</v>
      </c>
      <c r="M880" s="42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>
      <c r="A881" s="43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>
        <f t="shared" si="1"/>
        <v>0</v>
      </c>
      <c r="M881" s="42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>
      <c r="A882" s="43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>
        <f t="shared" si="1"/>
        <v>0</v>
      </c>
      <c r="M882" s="42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>
      <c r="A883" s="43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>
        <f t="shared" si="1"/>
        <v>0</v>
      </c>
      <c r="M883" s="42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>
      <c r="A884" s="43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>
        <f t="shared" si="1"/>
        <v>0</v>
      </c>
      <c r="M884" s="42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>
      <c r="A885" s="43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>
        <f t="shared" si="1"/>
        <v>0</v>
      </c>
      <c r="M885" s="42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>
      <c r="A886" s="43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>
        <f t="shared" si="1"/>
        <v>0</v>
      </c>
      <c r="M886" s="42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>
      <c r="A887" s="43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>
        <f t="shared" si="1"/>
        <v>0</v>
      </c>
      <c r="M887" s="42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>
      <c r="A888" s="43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>
        <f t="shared" si="1"/>
        <v>0</v>
      </c>
      <c r="M888" s="42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>
      <c r="A889" s="43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>
        <f t="shared" si="1"/>
        <v>0</v>
      </c>
      <c r="M889" s="42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>
      <c r="A890" s="43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>
        <f t="shared" si="1"/>
        <v>0</v>
      </c>
      <c r="M890" s="42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>
      <c r="A891" s="43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>
        <f t="shared" si="1"/>
        <v>0</v>
      </c>
      <c r="M891" s="42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>
      <c r="A892" s="43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>
        <f t="shared" si="1"/>
        <v>0</v>
      </c>
      <c r="M892" s="42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>
      <c r="A893" s="43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>
        <f t="shared" si="1"/>
        <v>0</v>
      </c>
      <c r="M893" s="42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>
      <c r="A894" s="43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>
        <f t="shared" si="1"/>
        <v>0</v>
      </c>
      <c r="M894" s="42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>
      <c r="A895" s="43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>
        <f t="shared" si="1"/>
        <v>0</v>
      </c>
      <c r="M895" s="42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>
      <c r="A896" s="43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>
        <f t="shared" si="1"/>
        <v>0</v>
      </c>
      <c r="M896" s="42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>
      <c r="A897" s="43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>
        <f t="shared" si="1"/>
        <v>0</v>
      </c>
      <c r="M897" s="42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>
      <c r="A898" s="43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>
        <f t="shared" si="1"/>
        <v>0</v>
      </c>
      <c r="M898" s="42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>
      <c r="A899" s="43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>
        <f t="shared" si="1"/>
        <v>0</v>
      </c>
      <c r="M899" s="42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>
      <c r="A900" s="43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>
        <f t="shared" si="1"/>
        <v>0</v>
      </c>
      <c r="M900" s="42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>
      <c r="A901" s="43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>
        <f t="shared" si="1"/>
        <v>0</v>
      </c>
      <c r="M901" s="42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>
      <c r="A902" s="43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>
        <f t="shared" si="1"/>
        <v>0</v>
      </c>
      <c r="M902" s="42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>
      <c r="A903" s="43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>
        <f t="shared" si="1"/>
        <v>0</v>
      </c>
      <c r="M903" s="42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>
      <c r="A904" s="43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>
        <f t="shared" si="1"/>
        <v>0</v>
      </c>
      <c r="M904" s="42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>
      <c r="A905" s="43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>
        <f t="shared" si="1"/>
        <v>0</v>
      </c>
      <c r="M905" s="42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>
      <c r="A906" s="43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>
        <f t="shared" si="1"/>
        <v>0</v>
      </c>
      <c r="M906" s="42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>
      <c r="A907" s="43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>
        <f t="shared" si="1"/>
        <v>0</v>
      </c>
      <c r="M907" s="42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>
      <c r="A908" s="43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>
        <f t="shared" si="1"/>
        <v>0</v>
      </c>
      <c r="M908" s="42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>
      <c r="A909" s="43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>
        <f t="shared" si="1"/>
        <v>0</v>
      </c>
      <c r="M909" s="42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>
      <c r="A910" s="43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>
        <f t="shared" si="1"/>
        <v>0</v>
      </c>
      <c r="M910" s="42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>
      <c r="A911" s="43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>
        <f t="shared" si="1"/>
        <v>0</v>
      </c>
      <c r="M911" s="42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>
      <c r="A912" s="43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>
        <f t="shared" si="1"/>
        <v>0</v>
      </c>
      <c r="M912" s="42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>
      <c r="A913" s="43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>
        <f t="shared" si="1"/>
        <v>0</v>
      </c>
      <c r="M913" s="42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>
      <c r="A914" s="43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>
        <f t="shared" si="1"/>
        <v>0</v>
      </c>
      <c r="M914" s="42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>
      <c r="A915" s="43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>
        <f t="shared" si="1"/>
        <v>0</v>
      </c>
      <c r="M915" s="42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>
      <c r="A916" s="43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>
        <f t="shared" si="1"/>
        <v>0</v>
      </c>
      <c r="M916" s="42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>
      <c r="A917" s="43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>
        <f t="shared" si="1"/>
        <v>0</v>
      </c>
      <c r="M917" s="42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>
      <c r="A918" s="43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>
        <f t="shared" si="1"/>
        <v>0</v>
      </c>
      <c r="M918" s="42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>
      <c r="A919" s="43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>
        <f t="shared" si="1"/>
        <v>0</v>
      </c>
      <c r="M919" s="42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>
      <c r="A920" s="43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>
        <f t="shared" si="1"/>
        <v>0</v>
      </c>
      <c r="M920" s="42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>
      <c r="A921" s="43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>
        <f t="shared" si="1"/>
        <v>0</v>
      </c>
      <c r="M921" s="42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>
      <c r="A922" s="43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>
        <f t="shared" si="1"/>
        <v>0</v>
      </c>
      <c r="M922" s="42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>
      <c r="A923" s="43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>
        <f t="shared" si="1"/>
        <v>0</v>
      </c>
      <c r="M923" s="42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>
      <c r="A924" s="43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>
        <f t="shared" si="1"/>
        <v>0</v>
      </c>
      <c r="M924" s="42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>
      <c r="A925" s="43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>
        <f t="shared" si="1"/>
        <v>0</v>
      </c>
      <c r="M925" s="42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>
      <c r="A926" s="43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>
        <f t="shared" si="1"/>
        <v>0</v>
      </c>
      <c r="M926" s="42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>
      <c r="A927" s="43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>
        <f t="shared" si="1"/>
        <v>0</v>
      </c>
      <c r="M927" s="42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>
      <c r="A928" s="43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>
        <f t="shared" si="1"/>
        <v>0</v>
      </c>
      <c r="M928" s="42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>
      <c r="A929" s="43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>
        <f t="shared" si="1"/>
        <v>0</v>
      </c>
      <c r="M929" s="42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>
      <c r="A930" s="43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>
        <f t="shared" si="1"/>
        <v>0</v>
      </c>
      <c r="M930" s="42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>
      <c r="A931" s="43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>
        <f t="shared" si="1"/>
        <v>0</v>
      </c>
      <c r="M931" s="42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>
      <c r="A932" s="43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>
        <f t="shared" si="1"/>
        <v>0</v>
      </c>
      <c r="M932" s="42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>
      <c r="A933" s="43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>
        <f t="shared" si="1"/>
        <v>0</v>
      </c>
      <c r="M933" s="42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>
      <c r="A934" s="43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>
        <f t="shared" si="1"/>
        <v>0</v>
      </c>
      <c r="M934" s="42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>
      <c r="A935" s="43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>
        <f t="shared" si="1"/>
        <v>0</v>
      </c>
      <c r="M935" s="42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>
      <c r="A936" s="43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>
        <f t="shared" si="1"/>
        <v>0</v>
      </c>
      <c r="M936" s="42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>
      <c r="A937" s="43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>
        <f t="shared" si="1"/>
        <v>0</v>
      </c>
      <c r="M937" s="42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>
      <c r="A938" s="43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>
        <f t="shared" si="1"/>
        <v>0</v>
      </c>
      <c r="M938" s="42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>
      <c r="A939" s="43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>
        <f t="shared" si="1"/>
        <v>0</v>
      </c>
      <c r="M939" s="42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>
      <c r="A940" s="43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>
        <f t="shared" si="1"/>
        <v>0</v>
      </c>
      <c r="M940" s="42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>
      <c r="A941" s="43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>
        <f t="shared" si="1"/>
        <v>0</v>
      </c>
      <c r="M941" s="42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>
      <c r="A942" s="43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>
        <f t="shared" si="1"/>
        <v>0</v>
      </c>
      <c r="M942" s="42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>
      <c r="A943" s="43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>
        <f t="shared" si="1"/>
        <v>0</v>
      </c>
      <c r="M943" s="42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>
      <c r="A944" s="43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>
        <f t="shared" si="1"/>
        <v>0</v>
      </c>
      <c r="M944" s="42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>
      <c r="A945" s="43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>
        <f t="shared" si="1"/>
        <v>0</v>
      </c>
      <c r="M945" s="42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>
      <c r="A946" s="43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>
        <f t="shared" si="1"/>
        <v>0</v>
      </c>
      <c r="M946" s="42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>
      <c r="A947" s="43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>
        <f t="shared" si="1"/>
        <v>0</v>
      </c>
      <c r="M947" s="42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>
      <c r="A948" s="43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>
        <f t="shared" si="1"/>
        <v>0</v>
      </c>
      <c r="M948" s="42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>
      <c r="A949" s="43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>
        <f t="shared" si="1"/>
        <v>0</v>
      </c>
      <c r="M949" s="42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>
      <c r="A950" s="43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>
        <f t="shared" si="1"/>
        <v>0</v>
      </c>
      <c r="M950" s="42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>
      <c r="A951" s="43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>
        <f t="shared" si="1"/>
        <v>0</v>
      </c>
      <c r="M951" s="42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>
      <c r="A952" s="43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>
        <f t="shared" si="1"/>
        <v>0</v>
      </c>
      <c r="M952" s="42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>
      <c r="A953" s="43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>
        <f t="shared" si="1"/>
        <v>0</v>
      </c>
      <c r="M953" s="42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>
      <c r="A954" s="43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>
        <f t="shared" si="1"/>
        <v>0</v>
      </c>
      <c r="M954" s="42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>
      <c r="A955" s="43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>
        <f t="shared" si="1"/>
        <v>0</v>
      </c>
      <c r="M955" s="42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>
      <c r="A956" s="43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>
        <f t="shared" si="1"/>
        <v>0</v>
      </c>
      <c r="M956" s="42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>
      <c r="A957" s="43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>
        <f t="shared" si="1"/>
        <v>0</v>
      </c>
      <c r="M957" s="42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>
      <c r="A958" s="43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>
        <f t="shared" si="1"/>
        <v>0</v>
      </c>
      <c r="M958" s="42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>
      <c r="A959" s="43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>
        <f t="shared" si="1"/>
        <v>0</v>
      </c>
      <c r="M959" s="42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>
      <c r="A960" s="43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>
        <f t="shared" si="1"/>
        <v>0</v>
      </c>
      <c r="M960" s="42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>
      <c r="A961" s="43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>
        <f t="shared" si="1"/>
        <v>0</v>
      </c>
      <c r="M961" s="42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>
      <c r="A962" s="43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>
        <f t="shared" si="1"/>
        <v>0</v>
      </c>
      <c r="M962" s="42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>
      <c r="A963" s="43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>
        <f t="shared" si="1"/>
        <v>0</v>
      </c>
      <c r="M963" s="42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>
      <c r="A964" s="43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>
        <f t="shared" si="1"/>
        <v>0</v>
      </c>
      <c r="M964" s="42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>
      <c r="A965" s="43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>
        <f t="shared" si="1"/>
        <v>0</v>
      </c>
      <c r="M965" s="42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>
      <c r="A966" s="43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>
        <f t="shared" si="1"/>
        <v>0</v>
      </c>
      <c r="M966" s="42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>
      <c r="A967" s="43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>
        <f t="shared" si="1"/>
        <v>0</v>
      </c>
      <c r="M967" s="42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>
      <c r="A968" s="43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>
        <f t="shared" si="1"/>
        <v>0</v>
      </c>
      <c r="M968" s="42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>
      <c r="A969" s="43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>
        <f t="shared" si="1"/>
        <v>0</v>
      </c>
      <c r="M969" s="42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>
      <c r="A970" s="43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>
        <f t="shared" si="1"/>
        <v>0</v>
      </c>
      <c r="M970" s="42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>
      <c r="A971" s="43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>
        <f t="shared" si="1"/>
        <v>0</v>
      </c>
      <c r="M971" s="42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>
      <c r="A972" s="43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>
        <f t="shared" si="1"/>
        <v>0</v>
      </c>
      <c r="M972" s="42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>
      <c r="A973" s="43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>
        <f t="shared" si="1"/>
        <v>0</v>
      </c>
      <c r="M973" s="42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>
      <c r="A974" s="43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>
        <f t="shared" si="1"/>
        <v>0</v>
      </c>
      <c r="M974" s="42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>
      <c r="A975" s="43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>
        <f t="shared" si="1"/>
        <v>0</v>
      </c>
      <c r="M975" s="42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>
      <c r="A976" s="43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>
        <f t="shared" si="1"/>
        <v>0</v>
      </c>
      <c r="M976" s="42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>
      <c r="A977" s="43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>
        <f t="shared" si="1"/>
        <v>0</v>
      </c>
      <c r="M977" s="42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>
      <c r="A978" s="43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>
        <f t="shared" si="1"/>
        <v>0</v>
      </c>
      <c r="M978" s="42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>
      <c r="A979" s="43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>
        <f t="shared" si="1"/>
        <v>0</v>
      </c>
      <c r="M979" s="42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>
      <c r="A980" s="43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>
        <f t="shared" si="1"/>
        <v>0</v>
      </c>
      <c r="M980" s="42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>
      <c r="A981" s="43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>
        <f t="shared" si="1"/>
        <v>0</v>
      </c>
      <c r="M981" s="42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>
      <c r="A982" s="43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>
        <f t="shared" si="1"/>
        <v>0</v>
      </c>
      <c r="M982" s="42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>
      <c r="A983" s="43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>
        <f t="shared" si="1"/>
        <v>0</v>
      </c>
      <c r="M983" s="42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>
      <c r="A984" s="43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>
        <f t="shared" si="1"/>
        <v>0</v>
      </c>
      <c r="M984" s="42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>
      <c r="A985" s="43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>
        <f t="shared" si="1"/>
        <v>0</v>
      </c>
      <c r="M985" s="42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>
      <c r="A986" s="43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>
        <f t="shared" si="1"/>
        <v>0</v>
      </c>
      <c r="M986" s="42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>
      <c r="A987" s="43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>
        <f t="shared" si="1"/>
        <v>0</v>
      </c>
      <c r="M987" s="42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>
      <c r="A988" s="43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>
        <f t="shared" si="1"/>
        <v>0</v>
      </c>
      <c r="M988" s="42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>
      <c r="A989" s="43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>
        <f t="shared" si="1"/>
        <v>0</v>
      </c>
      <c r="M989" s="42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>
      <c r="A990" s="43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>
        <f t="shared" si="1"/>
        <v>0</v>
      </c>
      <c r="M990" s="42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>
      <c r="A991" s="43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>
        <f t="shared" si="1"/>
        <v>0</v>
      </c>
      <c r="M991" s="42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>
      <c r="A992" s="43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>
        <f t="shared" si="1"/>
        <v>0</v>
      </c>
      <c r="M992" s="42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>
      <c r="A993" s="43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>
        <f t="shared" si="1"/>
        <v>0</v>
      </c>
      <c r="M993" s="42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>
      <c r="A994" s="43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>
        <f t="shared" si="1"/>
        <v>0</v>
      </c>
      <c r="M994" s="42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>
      <c r="A995" s="43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>
        <f t="shared" si="1"/>
        <v>0</v>
      </c>
      <c r="M995" s="42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>
      <c r="A996" s="43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>
        <f t="shared" si="1"/>
        <v>0</v>
      </c>
      <c r="M996" s="42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>
      <c r="A997" s="43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>
        <f t="shared" si="1"/>
        <v>0</v>
      </c>
      <c r="M997" s="42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>
      <c r="A998" s="43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>
        <f t="shared" si="1"/>
        <v>0</v>
      </c>
      <c r="M998" s="42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>
      <c r="A999" s="43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>
        <f t="shared" si="1"/>
        <v>0</v>
      </c>
      <c r="M999" s="42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>
      <c r="A1000" s="43"/>
      <c r="B1000" s="42"/>
      <c r="C1000" s="42"/>
      <c r="D1000" s="42"/>
      <c r="E1000" s="42"/>
      <c r="F1000" s="42"/>
      <c r="G1000" s="42"/>
      <c r="H1000" s="42"/>
      <c r="I1000" s="42"/>
      <c r="J1000" s="42"/>
      <c r="K1000" s="42"/>
      <c r="L1000" s="42">
        <f t="shared" si="1"/>
        <v>0</v>
      </c>
      <c r="M1000" s="42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  <row r="1001">
      <c r="A1001" s="27">
        <v>46042.92526857639</v>
      </c>
      <c r="B1001" s="16" t="s">
        <v>1129</v>
      </c>
      <c r="C1001" s="26">
        <v>8.0</v>
      </c>
      <c r="D1001" s="23" t="s">
        <v>1130</v>
      </c>
      <c r="E1001" s="23" t="s">
        <v>1131</v>
      </c>
      <c r="F1001" s="16" t="s">
        <v>1128</v>
      </c>
      <c r="G1001" s="26">
        <v>3281.0</v>
      </c>
      <c r="H1001" s="16" t="s">
        <v>1297</v>
      </c>
      <c r="I1001" s="23" t="s">
        <v>1298</v>
      </c>
      <c r="J1001" s="16" t="s">
        <v>1299</v>
      </c>
      <c r="K1001" s="23" t="s">
        <v>1300</v>
      </c>
      <c r="L1001" s="28"/>
      <c r="M1001" s="28"/>
      <c r="N1001" s="28"/>
      <c r="O1001" s="16" t="s">
        <v>45</v>
      </c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</row>
    <row r="1002">
      <c r="A1002" s="27">
        <v>46042.92534428241</v>
      </c>
      <c r="B1002" s="16" t="s">
        <v>1133</v>
      </c>
      <c r="C1002" s="26">
        <v>5.0</v>
      </c>
      <c r="D1002" s="23" t="s">
        <v>1130</v>
      </c>
      <c r="E1002" s="23" t="s">
        <v>1131</v>
      </c>
      <c r="F1002" s="16" t="s">
        <v>1128</v>
      </c>
      <c r="G1002" s="26">
        <v>305.0</v>
      </c>
      <c r="H1002" s="16" t="s">
        <v>1272</v>
      </c>
      <c r="I1002" s="23" t="s">
        <v>1301</v>
      </c>
      <c r="J1002" s="16" t="s">
        <v>1302</v>
      </c>
      <c r="K1002" s="16" t="s">
        <v>1303</v>
      </c>
      <c r="L1002" s="28"/>
      <c r="M1002" s="28"/>
      <c r="N1002" s="28"/>
      <c r="O1002" s="16" t="s">
        <v>45</v>
      </c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</row>
    <row r="1003">
      <c r="A1003" s="27">
        <v>46042.92539912037</v>
      </c>
      <c r="B1003" s="23" t="s">
        <v>1135</v>
      </c>
      <c r="C1003" s="26">
        <v>0.0</v>
      </c>
      <c r="D1003" s="23" t="s">
        <v>1136</v>
      </c>
      <c r="E1003" s="23" t="s">
        <v>1136</v>
      </c>
      <c r="F1003" s="16" t="s">
        <v>1128</v>
      </c>
      <c r="G1003" s="26">
        <v>9765.0</v>
      </c>
      <c r="H1003" s="23" t="s">
        <v>1304</v>
      </c>
      <c r="I1003" s="23" t="s">
        <v>1305</v>
      </c>
      <c r="J1003" s="23" t="s">
        <v>1306</v>
      </c>
      <c r="K1003" s="23" t="s">
        <v>1307</v>
      </c>
      <c r="L1003" s="28"/>
      <c r="M1003" s="28"/>
      <c r="N1003" s="28"/>
      <c r="O1003" s="16" t="s">
        <v>45</v>
      </c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</row>
    <row r="1004">
      <c r="A1004" s="27">
        <v>46043.868625601855</v>
      </c>
      <c r="B1004" s="16" t="s">
        <v>127</v>
      </c>
      <c r="C1004" s="23" t="s">
        <v>1138</v>
      </c>
      <c r="D1004" s="23" t="s">
        <v>1139</v>
      </c>
      <c r="E1004" s="16" t="s">
        <v>1140</v>
      </c>
      <c r="F1004" s="16"/>
      <c r="G1004" s="26"/>
      <c r="H1004" s="16">
        <v>0.0</v>
      </c>
      <c r="I1004" s="23" t="s">
        <v>1192</v>
      </c>
      <c r="J1004" s="23" t="s">
        <v>1308</v>
      </c>
      <c r="K1004" s="23" t="s">
        <v>1131</v>
      </c>
      <c r="L1004" s="23" t="s">
        <v>1309</v>
      </c>
      <c r="M1004" s="28"/>
      <c r="N1004" s="28"/>
      <c r="O1004" s="16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</row>
    <row r="1005">
      <c r="A1005" s="27">
        <v>46043.88614582176</v>
      </c>
      <c r="B1005" s="16" t="s">
        <v>127</v>
      </c>
      <c r="C1005" s="23" t="s">
        <v>1138</v>
      </c>
      <c r="D1005" s="23" t="s">
        <v>1139</v>
      </c>
      <c r="E1005" s="16" t="s">
        <v>1140</v>
      </c>
      <c r="F1005" s="16"/>
      <c r="G1005" s="26"/>
      <c r="H1005" s="16">
        <v>0.0</v>
      </c>
      <c r="I1005" s="23" t="s">
        <v>1192</v>
      </c>
      <c r="J1005" s="23" t="s">
        <v>1308</v>
      </c>
      <c r="K1005" s="23" t="s">
        <v>1310</v>
      </c>
      <c r="L1005" s="23" t="s">
        <v>1311</v>
      </c>
      <c r="M1005" s="28"/>
      <c r="N1005" s="28"/>
      <c r="O1005" s="16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</row>
    <row r="1006">
      <c r="A1006" s="16" t="s">
        <v>1312</v>
      </c>
      <c r="B1006" s="27">
        <v>46043.906879999995</v>
      </c>
      <c r="C1006" s="16" t="s">
        <v>127</v>
      </c>
      <c r="D1006" s="23" t="s">
        <v>1144</v>
      </c>
      <c r="E1006" s="16">
        <v>4.0</v>
      </c>
      <c r="F1006" s="16" t="s">
        <v>1143</v>
      </c>
      <c r="G1006" s="26"/>
      <c r="H1006" s="16"/>
      <c r="I1006" s="16">
        <v>0.0</v>
      </c>
      <c r="J1006" s="23" t="s">
        <v>1192</v>
      </c>
      <c r="K1006" s="23" t="s">
        <v>1308</v>
      </c>
      <c r="L1006" s="23" t="s">
        <v>1131</v>
      </c>
      <c r="M1006" s="23" t="s">
        <v>1206</v>
      </c>
      <c r="N1006" s="28"/>
      <c r="O1006" s="16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</row>
    <row r="1007">
      <c r="A1007" s="16" t="s">
        <v>1313</v>
      </c>
      <c r="B1007" s="27">
        <v>46043.906901469905</v>
      </c>
      <c r="C1007" s="16" t="s">
        <v>127</v>
      </c>
      <c r="D1007" s="23" t="s">
        <v>1144</v>
      </c>
      <c r="E1007" s="16">
        <v>4.0</v>
      </c>
      <c r="F1007" s="16" t="s">
        <v>1146</v>
      </c>
      <c r="G1007" s="26"/>
      <c r="H1007" s="16"/>
      <c r="I1007" s="16">
        <v>0.0</v>
      </c>
      <c r="J1007" s="23" t="s">
        <v>1192</v>
      </c>
      <c r="K1007" s="23" t="s">
        <v>1308</v>
      </c>
      <c r="L1007" s="23" t="s">
        <v>1131</v>
      </c>
      <c r="M1007" s="23" t="s">
        <v>1181</v>
      </c>
      <c r="N1007" s="28"/>
      <c r="O1007" s="16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</row>
    <row r="1008">
      <c r="A1008" s="27">
        <v>46043.90692384259</v>
      </c>
      <c r="B1008" s="16" t="s">
        <v>127</v>
      </c>
      <c r="C1008" s="23" t="s">
        <v>1138</v>
      </c>
      <c r="D1008" s="23" t="s">
        <v>1139</v>
      </c>
      <c r="E1008" s="16" t="s">
        <v>1148</v>
      </c>
      <c r="F1008" s="16"/>
      <c r="G1008" s="26"/>
      <c r="H1008" s="16">
        <v>1.0</v>
      </c>
      <c r="I1008" s="16" t="s">
        <v>1128</v>
      </c>
      <c r="J1008" s="23" t="s">
        <v>1182</v>
      </c>
      <c r="K1008" s="23" t="s">
        <v>1176</v>
      </c>
      <c r="L1008" s="16" t="s">
        <v>1183</v>
      </c>
      <c r="M1008" s="23"/>
      <c r="N1008" s="28"/>
      <c r="O1008" s="16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</row>
    <row r="1009">
      <c r="A1009" s="16" t="s">
        <v>1314</v>
      </c>
      <c r="B1009" s="27">
        <v>46043.90693556713</v>
      </c>
      <c r="C1009" s="16" t="s">
        <v>127</v>
      </c>
      <c r="D1009" s="23" t="s">
        <v>1144</v>
      </c>
      <c r="E1009" s="16">
        <v>4.0</v>
      </c>
      <c r="F1009" s="16" t="s">
        <v>1150</v>
      </c>
      <c r="G1009" s="26"/>
      <c r="H1009" s="16"/>
      <c r="I1009" s="16">
        <v>1.0</v>
      </c>
      <c r="J1009" s="16" t="s">
        <v>1185</v>
      </c>
      <c r="K1009" s="23" t="s">
        <v>1182</v>
      </c>
      <c r="L1009" s="23" t="s">
        <v>1176</v>
      </c>
      <c r="M1009" s="16" t="s">
        <v>1128</v>
      </c>
      <c r="N1009" s="28"/>
      <c r="O1009" s="16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</row>
    <row r="1010">
      <c r="A1010" s="16" t="s">
        <v>1315</v>
      </c>
      <c r="B1010" s="27">
        <v>46043.9069487963</v>
      </c>
      <c r="C1010" s="16" t="s">
        <v>127</v>
      </c>
      <c r="D1010" s="23" t="s">
        <v>1144</v>
      </c>
      <c r="E1010" s="16">
        <v>4.0</v>
      </c>
      <c r="F1010" s="16" t="s">
        <v>1152</v>
      </c>
      <c r="G1010" s="26"/>
      <c r="H1010" s="16"/>
      <c r="I1010" s="16">
        <v>2.0</v>
      </c>
      <c r="J1010" s="16" t="s">
        <v>1316</v>
      </c>
      <c r="K1010" s="23" t="s">
        <v>1188</v>
      </c>
      <c r="L1010" s="23" t="s">
        <v>1176</v>
      </c>
      <c r="M1010" s="16" t="s">
        <v>1317</v>
      </c>
      <c r="N1010" s="28"/>
      <c r="O1010" s="16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</row>
    <row r="1011">
      <c r="A1011" s="16" t="s">
        <v>1318</v>
      </c>
      <c r="B1011" s="27">
        <v>46043.9120462037</v>
      </c>
      <c r="C1011" s="16" t="s">
        <v>127</v>
      </c>
      <c r="D1011" s="23" t="s">
        <v>1144</v>
      </c>
      <c r="E1011" s="16">
        <v>4.0</v>
      </c>
      <c r="F1011" s="16" t="s">
        <v>1143</v>
      </c>
      <c r="G1011" s="26"/>
      <c r="H1011" s="16"/>
      <c r="I1011" s="16">
        <v>10.0</v>
      </c>
      <c r="J1011" s="23" t="s">
        <v>1205</v>
      </c>
      <c r="K1011" s="23" t="s">
        <v>1176</v>
      </c>
      <c r="L1011" s="23" t="s">
        <v>1182</v>
      </c>
      <c r="M1011" s="23" t="s">
        <v>1206</v>
      </c>
      <c r="N1011" s="28"/>
      <c r="O1011" s="16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</row>
    <row r="1012">
      <c r="A1012" s="16" t="s">
        <v>1319</v>
      </c>
      <c r="B1012" s="27">
        <v>46043.912077534726</v>
      </c>
      <c r="C1012" s="16" t="s">
        <v>127</v>
      </c>
      <c r="D1012" s="23" t="s">
        <v>1144</v>
      </c>
      <c r="E1012" s="16">
        <v>4.0</v>
      </c>
      <c r="F1012" s="16" t="s">
        <v>1146</v>
      </c>
      <c r="G1012" s="26"/>
      <c r="H1012" s="16"/>
      <c r="I1012" s="16">
        <v>5.0</v>
      </c>
      <c r="J1012" s="23" t="s">
        <v>1179</v>
      </c>
      <c r="K1012" s="23" t="s">
        <v>1176</v>
      </c>
      <c r="L1012" s="16" t="s">
        <v>1180</v>
      </c>
      <c r="M1012" s="23" t="s">
        <v>1181</v>
      </c>
      <c r="N1012" s="28"/>
      <c r="O1012" s="16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</row>
    <row r="1013">
      <c r="A1013" s="27">
        <v>46043.912097719905</v>
      </c>
      <c r="B1013" s="16" t="s">
        <v>127</v>
      </c>
      <c r="C1013" s="23" t="s">
        <v>1138</v>
      </c>
      <c r="D1013" s="23" t="s">
        <v>1139</v>
      </c>
      <c r="E1013" s="16" t="s">
        <v>1148</v>
      </c>
      <c r="F1013" s="16"/>
      <c r="G1013" s="26"/>
      <c r="H1013" s="16">
        <v>1.0</v>
      </c>
      <c r="I1013" s="16" t="s">
        <v>1128</v>
      </c>
      <c r="J1013" s="23" t="s">
        <v>1182</v>
      </c>
      <c r="K1013" s="23" t="s">
        <v>1176</v>
      </c>
      <c r="L1013" s="16" t="s">
        <v>1183</v>
      </c>
      <c r="M1013" s="23"/>
      <c r="N1013" s="28"/>
      <c r="O1013" s="16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</row>
    <row r="1014">
      <c r="A1014" s="16" t="s">
        <v>1320</v>
      </c>
      <c r="B1014" s="27">
        <v>46043.912109247685</v>
      </c>
      <c r="C1014" s="16" t="s">
        <v>127</v>
      </c>
      <c r="D1014" s="23" t="s">
        <v>1144</v>
      </c>
      <c r="E1014" s="16">
        <v>4.0</v>
      </c>
      <c r="F1014" s="16" t="s">
        <v>1150</v>
      </c>
      <c r="G1014" s="26"/>
      <c r="H1014" s="16"/>
      <c r="I1014" s="16">
        <v>1.0</v>
      </c>
      <c r="J1014" s="16" t="s">
        <v>1185</v>
      </c>
      <c r="K1014" s="23" t="s">
        <v>1182</v>
      </c>
      <c r="L1014" s="23" t="s">
        <v>1176</v>
      </c>
      <c r="M1014" s="16" t="s">
        <v>1128</v>
      </c>
      <c r="N1014" s="28"/>
      <c r="O1014" s="16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</row>
    <row r="1015">
      <c r="A1015" s="16" t="s">
        <v>1321</v>
      </c>
      <c r="B1015" s="27">
        <v>46043.91213768518</v>
      </c>
      <c r="C1015" s="16" t="s">
        <v>127</v>
      </c>
      <c r="D1015" s="23" t="s">
        <v>1144</v>
      </c>
      <c r="E1015" s="16">
        <v>4.0</v>
      </c>
      <c r="F1015" s="16" t="s">
        <v>1152</v>
      </c>
      <c r="G1015" s="26"/>
      <c r="H1015" s="16"/>
      <c r="I1015" s="16">
        <v>2.0</v>
      </c>
      <c r="J1015" s="16" t="s">
        <v>1187</v>
      </c>
      <c r="K1015" s="23" t="s">
        <v>1188</v>
      </c>
      <c r="L1015" s="23" t="s">
        <v>1176</v>
      </c>
      <c r="M1015" s="16" t="s">
        <v>1189</v>
      </c>
      <c r="N1015" s="28"/>
      <c r="O1015" s="16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</row>
    <row r="1016">
      <c r="A1016" s="16" t="s">
        <v>1322</v>
      </c>
      <c r="B1016" s="27">
        <v>46043.93097783565</v>
      </c>
      <c r="C1016" s="16" t="s">
        <v>127</v>
      </c>
      <c r="D1016" s="23" t="s">
        <v>1144</v>
      </c>
      <c r="E1016" s="16">
        <v>4.0</v>
      </c>
      <c r="F1016" s="16" t="s">
        <v>1159</v>
      </c>
      <c r="G1016" s="16">
        <v>3818.0</v>
      </c>
      <c r="H1016" s="16">
        <v>1626.0</v>
      </c>
      <c r="I1016" s="16">
        <v>500.0</v>
      </c>
      <c r="J1016" s="23" t="s">
        <v>1323</v>
      </c>
      <c r="K1016" s="23" t="s">
        <v>1227</v>
      </c>
      <c r="L1016" s="23" t="s">
        <v>1228</v>
      </c>
      <c r="M1016" s="23" t="s">
        <v>1311</v>
      </c>
      <c r="N1016" s="28"/>
      <c r="O1016" s="16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</row>
    <row r="1017">
      <c r="A1017" s="16" t="s">
        <v>1324</v>
      </c>
      <c r="B1017" s="27">
        <v>46043.977069409724</v>
      </c>
      <c r="C1017" s="16" t="s">
        <v>127</v>
      </c>
      <c r="D1017" s="23" t="s">
        <v>1144</v>
      </c>
      <c r="E1017" s="16">
        <v>4.0</v>
      </c>
      <c r="F1017" s="23" t="s">
        <v>1161</v>
      </c>
      <c r="G1017" s="16" t="s">
        <v>1173</v>
      </c>
      <c r="H1017" s="16" t="s">
        <v>1174</v>
      </c>
      <c r="I1017" s="16">
        <v>239.05</v>
      </c>
      <c r="J1017" s="23" t="s">
        <v>1175</v>
      </c>
      <c r="K1017" s="23" t="s">
        <v>1325</v>
      </c>
      <c r="L1017" s="23" t="s">
        <v>1176</v>
      </c>
      <c r="M1017" s="23" t="s">
        <v>1177</v>
      </c>
      <c r="N1017" s="28"/>
      <c r="O1017" s="16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</row>
    <row r="1018">
      <c r="A1018" s="16" t="s">
        <v>1326</v>
      </c>
      <c r="B1018" s="27">
        <v>46043.9771443287</v>
      </c>
      <c r="C1018" s="16" t="s">
        <v>127</v>
      </c>
      <c r="D1018" s="23" t="s">
        <v>1144</v>
      </c>
      <c r="E1018" s="16">
        <v>4.0</v>
      </c>
      <c r="F1018" s="23" t="s">
        <v>1161</v>
      </c>
      <c r="G1018" s="16" t="s">
        <v>1173</v>
      </c>
      <c r="H1018" s="16" t="s">
        <v>1174</v>
      </c>
      <c r="I1018" s="16">
        <v>239.05</v>
      </c>
      <c r="J1018" s="23" t="s">
        <v>1175</v>
      </c>
      <c r="K1018" s="23" t="s">
        <v>1325</v>
      </c>
      <c r="L1018" s="23" t="s">
        <v>1176</v>
      </c>
      <c r="M1018" s="23" t="s">
        <v>1177</v>
      </c>
      <c r="N1018" s="28"/>
      <c r="O1018" s="16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</row>
    <row r="1019">
      <c r="A1019" s="16" t="s">
        <v>1327</v>
      </c>
      <c r="B1019" s="27">
        <v>46043.977260162035</v>
      </c>
      <c r="C1019" s="16" t="s">
        <v>127</v>
      </c>
      <c r="D1019" s="23" t="s">
        <v>1144</v>
      </c>
      <c r="E1019" s="16">
        <v>4.0</v>
      </c>
      <c r="F1019" s="23" t="s">
        <v>1161</v>
      </c>
      <c r="G1019" s="16" t="s">
        <v>1173</v>
      </c>
      <c r="H1019" s="16" t="s">
        <v>1174</v>
      </c>
      <c r="I1019" s="16">
        <v>239.05</v>
      </c>
      <c r="J1019" s="23" t="s">
        <v>1175</v>
      </c>
      <c r="K1019" s="23" t="s">
        <v>1325</v>
      </c>
      <c r="L1019" s="23" t="s">
        <v>1176</v>
      </c>
      <c r="M1019" s="23" t="s">
        <v>1177</v>
      </c>
      <c r="N1019" s="28"/>
      <c r="O1019" s="16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</row>
    <row r="1020">
      <c r="A1020" s="16" t="s">
        <v>1328</v>
      </c>
      <c r="B1020" s="27">
        <v>46043.97739505787</v>
      </c>
      <c r="C1020" s="16" t="s">
        <v>127</v>
      </c>
      <c r="D1020" s="23" t="s">
        <v>1144</v>
      </c>
      <c r="E1020" s="16">
        <v>4.0</v>
      </c>
      <c r="F1020" s="23" t="s">
        <v>1161</v>
      </c>
      <c r="G1020" s="16" t="s">
        <v>1173</v>
      </c>
      <c r="H1020" s="16" t="s">
        <v>1174</v>
      </c>
      <c r="I1020" s="16">
        <v>239.05</v>
      </c>
      <c r="J1020" s="23" t="s">
        <v>1175</v>
      </c>
      <c r="K1020" s="23" t="s">
        <v>1325</v>
      </c>
      <c r="L1020" s="23" t="s">
        <v>1176</v>
      </c>
      <c r="M1020" s="23" t="s">
        <v>1177</v>
      </c>
      <c r="N1020" s="28"/>
      <c r="O1020" s="16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</row>
    <row r="1021">
      <c r="A1021" s="16" t="s">
        <v>1329</v>
      </c>
      <c r="B1021" s="27">
        <v>46043.97755766204</v>
      </c>
      <c r="C1021" s="16" t="s">
        <v>127</v>
      </c>
      <c r="D1021" s="23" t="s">
        <v>1144</v>
      </c>
      <c r="E1021" s="16">
        <v>4.0</v>
      </c>
      <c r="F1021" s="23" t="s">
        <v>1161</v>
      </c>
      <c r="G1021" s="16" t="s">
        <v>1173</v>
      </c>
      <c r="H1021" s="16" t="s">
        <v>1174</v>
      </c>
      <c r="I1021" s="16">
        <v>239.05</v>
      </c>
      <c r="J1021" s="23" t="s">
        <v>1175</v>
      </c>
      <c r="K1021" s="23" t="s">
        <v>1325</v>
      </c>
      <c r="L1021" s="23" t="s">
        <v>1176</v>
      </c>
      <c r="M1021" s="23" t="s">
        <v>1177</v>
      </c>
      <c r="N1021" s="28"/>
      <c r="O1021" s="16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</row>
    <row r="1022">
      <c r="A1022" s="16" t="s">
        <v>1330</v>
      </c>
      <c r="B1022" s="27">
        <v>46043.97784075231</v>
      </c>
      <c r="C1022" s="16" t="s">
        <v>127</v>
      </c>
      <c r="D1022" s="23" t="s">
        <v>1144</v>
      </c>
      <c r="E1022" s="16">
        <v>4.0</v>
      </c>
      <c r="F1022" s="23" t="s">
        <v>1161</v>
      </c>
      <c r="G1022" s="16" t="s">
        <v>1173</v>
      </c>
      <c r="H1022" s="16" t="s">
        <v>1174</v>
      </c>
      <c r="I1022" s="16">
        <v>239.05</v>
      </c>
      <c r="J1022" s="23" t="s">
        <v>1175</v>
      </c>
      <c r="K1022" s="23" t="s">
        <v>1325</v>
      </c>
      <c r="L1022" s="23" t="s">
        <v>1176</v>
      </c>
      <c r="M1022" s="23" t="s">
        <v>1177</v>
      </c>
      <c r="N1022" s="28"/>
      <c r="O1022" s="16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</row>
    <row r="1023">
      <c r="A1023" s="16" t="s">
        <v>1331</v>
      </c>
      <c r="B1023" s="27">
        <v>46043.97832444444</v>
      </c>
      <c r="C1023" s="16" t="s">
        <v>127</v>
      </c>
      <c r="D1023" s="23" t="s">
        <v>1144</v>
      </c>
      <c r="E1023" s="16">
        <v>4.0</v>
      </c>
      <c r="F1023" s="23" t="s">
        <v>1161</v>
      </c>
      <c r="G1023" s="16" t="s">
        <v>1173</v>
      </c>
      <c r="H1023" s="16" t="s">
        <v>1174</v>
      </c>
      <c r="I1023" s="16">
        <v>239.05</v>
      </c>
      <c r="J1023" s="23" t="s">
        <v>1175</v>
      </c>
      <c r="K1023" s="23" t="s">
        <v>1325</v>
      </c>
      <c r="L1023" s="23" t="s">
        <v>1176</v>
      </c>
      <c r="M1023" s="23" t="s">
        <v>1177</v>
      </c>
      <c r="N1023" s="28"/>
      <c r="O1023" s="16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</row>
    <row r="1024">
      <c r="A1024" s="16" t="s">
        <v>1332</v>
      </c>
      <c r="B1024" s="27">
        <v>46043.97916236111</v>
      </c>
      <c r="C1024" s="16" t="s">
        <v>127</v>
      </c>
      <c r="D1024" s="23" t="s">
        <v>1144</v>
      </c>
      <c r="E1024" s="16">
        <v>4.0</v>
      </c>
      <c r="F1024" s="23" t="s">
        <v>1161</v>
      </c>
      <c r="G1024" s="16" t="s">
        <v>1173</v>
      </c>
      <c r="H1024" s="16" t="s">
        <v>1174</v>
      </c>
      <c r="I1024" s="16">
        <v>239.05</v>
      </c>
      <c r="J1024" s="23" t="s">
        <v>1175</v>
      </c>
      <c r="K1024" s="23" t="s">
        <v>1325</v>
      </c>
      <c r="L1024" s="23" t="s">
        <v>1176</v>
      </c>
      <c r="M1024" s="23" t="s">
        <v>1177</v>
      </c>
      <c r="N1024" s="28"/>
      <c r="O1024" s="16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</row>
    <row r="1025">
      <c r="A1025" s="16" t="s">
        <v>1333</v>
      </c>
      <c r="B1025" s="27">
        <v>46043.9802337037</v>
      </c>
      <c r="C1025" s="16" t="s">
        <v>127</v>
      </c>
      <c r="D1025" s="23" t="s">
        <v>1144</v>
      </c>
      <c r="E1025" s="16">
        <v>4.0</v>
      </c>
      <c r="F1025" s="23" t="s">
        <v>1161</v>
      </c>
      <c r="G1025" s="16" t="s">
        <v>1173</v>
      </c>
      <c r="H1025" s="16" t="s">
        <v>1174</v>
      </c>
      <c r="I1025" s="16">
        <v>239.05</v>
      </c>
      <c r="J1025" s="23" t="s">
        <v>1175</v>
      </c>
      <c r="K1025" s="23" t="s">
        <v>1325</v>
      </c>
      <c r="L1025" s="23" t="s">
        <v>1176</v>
      </c>
      <c r="M1025" s="23" t="s">
        <v>1177</v>
      </c>
      <c r="N1025" s="28"/>
      <c r="O1025" s="16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</row>
    <row r="1026">
      <c r="A1026" s="16" t="s">
        <v>1334</v>
      </c>
      <c r="B1026" s="27">
        <v>46043.9844646875</v>
      </c>
      <c r="C1026" s="16" t="s">
        <v>127</v>
      </c>
      <c r="D1026" s="23" t="s">
        <v>1144</v>
      </c>
      <c r="E1026" s="16">
        <v>4.0</v>
      </c>
      <c r="F1026" s="16" t="s">
        <v>1140</v>
      </c>
      <c r="G1026" s="16"/>
      <c r="H1026" s="16" t="s">
        <v>1195</v>
      </c>
      <c r="I1026" s="16">
        <v>1.0</v>
      </c>
      <c r="J1026" s="16" t="s">
        <v>1133</v>
      </c>
      <c r="K1026" s="23" t="s">
        <v>1335</v>
      </c>
      <c r="L1026" s="16" t="s">
        <v>1201</v>
      </c>
      <c r="M1026" s="16" t="s">
        <v>1198</v>
      </c>
      <c r="N1026" s="28"/>
      <c r="O1026" s="16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</row>
  </sheetData>
  <conditionalFormatting sqref="C2:C1000">
    <cfRule type="cellIs" dxfId="4" priority="1" stopIfTrue="1" operator="lessThan">
      <formula>0</formula>
    </cfRule>
  </conditionalFormatting>
  <conditionalFormatting sqref="C2:C1000">
    <cfRule type="cellIs" dxfId="5" priority="2" stopIfTrue="1" operator="greaterThan">
      <formula>0</formula>
    </cfRule>
  </conditionalFormatting>
  <dataValidations>
    <dataValidation type="custom" allowBlank="1" showDropDown="1" sqref="J2:J1026">
      <formula1>COUNTIF(BudgetCategories,INDIRECT("RC",FALSE))&gt;0</formula1>
    </dataValidation>
    <dataValidation type="list" allowBlank="1" showErrorMessage="1" sqref="D2:D1026">
      <formula1>"مطاعم,مواد غذائية,مواصلات,ترفيه,صحة,تعليم,فواتير,ملابس,حوالات,راتب,أخرى"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22.63"/>
    <col customWidth="1" min="3" max="3" width="12.63"/>
    <col customWidth="1" min="4" max="4" width="15.13"/>
    <col customWidth="1" min="5" max="5" width="12.63"/>
    <col customWidth="1" min="6" max="6" width="25.13"/>
    <col customWidth="1" min="7" max="7" width="18.88"/>
    <col customWidth="1" min="8" max="8" width="31.38"/>
    <col customWidth="1" min="9" max="9" width="18.88"/>
  </cols>
  <sheetData>
    <row r="1">
      <c r="A1" s="44" t="s">
        <v>114</v>
      </c>
      <c r="B1" s="44" t="s">
        <v>1336</v>
      </c>
      <c r="C1" s="44" t="s">
        <v>124</v>
      </c>
      <c r="D1" s="44" t="s">
        <v>121</v>
      </c>
      <c r="E1" s="44" t="s">
        <v>98</v>
      </c>
      <c r="F1" s="44" t="s">
        <v>1337</v>
      </c>
      <c r="G1" s="44" t="s">
        <v>123</v>
      </c>
      <c r="H1" s="44" t="s">
        <v>1292</v>
      </c>
      <c r="I1" s="44" t="s">
        <v>1338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7.63"/>
    <col customWidth="1" min="3" max="3" width="25.13"/>
    <col customWidth="1" min="4" max="4" width="12.63"/>
    <col customWidth="1" min="5" max="5" width="31.38"/>
  </cols>
  <sheetData>
    <row r="1">
      <c r="A1" s="45" t="s">
        <v>1339</v>
      </c>
      <c r="B1" s="45" t="s">
        <v>1340</v>
      </c>
      <c r="C1" s="45" t="s">
        <v>1341</v>
      </c>
      <c r="D1" s="45" t="s">
        <v>1342</v>
      </c>
      <c r="E1" s="45" t="s">
        <v>1292</v>
      </c>
    </row>
    <row r="2">
      <c r="A2" s="7" t="s">
        <v>1343</v>
      </c>
      <c r="B2" s="7" t="s">
        <v>1344</v>
      </c>
      <c r="C2" s="8" t="s">
        <v>1345</v>
      </c>
      <c r="D2" s="8" t="s">
        <v>1346</v>
      </c>
      <c r="E2" s="4"/>
    </row>
    <row r="3">
      <c r="A3" s="4"/>
      <c r="B3" s="4"/>
      <c r="C3" s="8" t="s">
        <v>1347</v>
      </c>
      <c r="D3" s="8" t="s">
        <v>1346</v>
      </c>
      <c r="E3" s="4"/>
    </row>
    <row r="4">
      <c r="A4" s="4"/>
      <c r="B4" s="4"/>
      <c r="C4" s="8" t="s">
        <v>1348</v>
      </c>
      <c r="D4" s="8" t="s">
        <v>1346</v>
      </c>
      <c r="E4" s="4"/>
    </row>
    <row r="5">
      <c r="A5" s="4"/>
      <c r="B5" s="4"/>
      <c r="C5" s="8" t="s">
        <v>1349</v>
      </c>
      <c r="D5" s="8" t="s">
        <v>1346</v>
      </c>
      <c r="E5" s="4"/>
    </row>
    <row r="6">
      <c r="A6" s="4"/>
      <c r="B6" s="4"/>
      <c r="C6" s="8" t="s">
        <v>1350</v>
      </c>
      <c r="D6" s="8" t="s">
        <v>1346</v>
      </c>
      <c r="E6" s="4"/>
    </row>
    <row r="7">
      <c r="A7" s="4"/>
      <c r="B7" s="4"/>
      <c r="C7" s="8" t="s">
        <v>1351</v>
      </c>
      <c r="D7" s="8" t="s">
        <v>1346</v>
      </c>
      <c r="E7" s="4"/>
    </row>
    <row r="8">
      <c r="A8" s="4"/>
      <c r="B8" s="4"/>
      <c r="C8" s="8" t="s">
        <v>1352</v>
      </c>
      <c r="D8" s="8" t="s">
        <v>1346</v>
      </c>
      <c r="E8" s="4"/>
    </row>
    <row r="9">
      <c r="A9" s="4"/>
      <c r="B9" s="4"/>
      <c r="C9" s="8" t="s">
        <v>1353</v>
      </c>
      <c r="D9" s="8" t="s">
        <v>1346</v>
      </c>
      <c r="E9" s="4"/>
    </row>
    <row r="10">
      <c r="A10" s="7" t="s">
        <v>1354</v>
      </c>
      <c r="B10" s="7" t="s">
        <v>1355</v>
      </c>
      <c r="C10" s="8" t="s">
        <v>1356</v>
      </c>
      <c r="D10" s="8" t="s">
        <v>1346</v>
      </c>
      <c r="E10" s="4"/>
    </row>
    <row r="11">
      <c r="A11" s="4"/>
      <c r="B11" s="4"/>
      <c r="C11" s="8" t="s">
        <v>1357</v>
      </c>
      <c r="D11" s="8" t="s">
        <v>1346</v>
      </c>
      <c r="E11" s="4"/>
    </row>
    <row r="12">
      <c r="A12" s="4"/>
      <c r="B12" s="4"/>
      <c r="C12" s="8" t="s">
        <v>1358</v>
      </c>
      <c r="D12" s="8" t="s">
        <v>1346</v>
      </c>
      <c r="E12" s="4"/>
    </row>
    <row r="13">
      <c r="A13" s="4"/>
      <c r="B13" s="4"/>
      <c r="C13" s="8" t="s">
        <v>1359</v>
      </c>
      <c r="D13" s="8" t="s">
        <v>1346</v>
      </c>
      <c r="E13" s="4"/>
    </row>
    <row r="14">
      <c r="A14" s="4"/>
      <c r="B14" s="4"/>
      <c r="C14" s="8" t="s">
        <v>1360</v>
      </c>
      <c r="D14" s="8" t="s">
        <v>1346</v>
      </c>
      <c r="E14" s="4"/>
    </row>
    <row r="15">
      <c r="A15" s="4"/>
      <c r="B15" s="4"/>
      <c r="C15" s="8" t="s">
        <v>1361</v>
      </c>
      <c r="D15" s="8" t="s">
        <v>1346</v>
      </c>
      <c r="E15" s="4"/>
    </row>
    <row r="16">
      <c r="A16" s="4"/>
      <c r="B16" s="4"/>
      <c r="C16" s="8" t="s">
        <v>1362</v>
      </c>
      <c r="D16" s="8" t="s">
        <v>1346</v>
      </c>
      <c r="E16" s="4"/>
    </row>
    <row r="17">
      <c r="A17" s="4"/>
      <c r="B17" s="4"/>
      <c r="C17" s="8" t="s">
        <v>1363</v>
      </c>
      <c r="D17" s="8" t="s">
        <v>1346</v>
      </c>
      <c r="E17" s="4"/>
    </row>
    <row r="18">
      <c r="A18" s="7" t="s">
        <v>1364</v>
      </c>
      <c r="B18" s="7" t="s">
        <v>1365</v>
      </c>
      <c r="C18" s="8" t="s">
        <v>1366</v>
      </c>
      <c r="D18" s="8" t="s">
        <v>1346</v>
      </c>
      <c r="E18" s="4"/>
    </row>
    <row r="19">
      <c r="A19" s="4"/>
      <c r="B19" s="4"/>
      <c r="C19" s="8" t="s">
        <v>1367</v>
      </c>
      <c r="D19" s="8" t="s">
        <v>1346</v>
      </c>
      <c r="E19" s="4"/>
    </row>
    <row r="20">
      <c r="A20" s="4"/>
      <c r="B20" s="4"/>
      <c r="C20" s="8" t="s">
        <v>1368</v>
      </c>
      <c r="D20" s="8" t="s">
        <v>1346</v>
      </c>
      <c r="E20" s="4"/>
    </row>
    <row r="21">
      <c r="A21" s="4"/>
      <c r="B21" s="4"/>
      <c r="C21" s="8" t="s">
        <v>1369</v>
      </c>
      <c r="D21" s="8" t="s">
        <v>1346</v>
      </c>
      <c r="E21" s="4"/>
    </row>
    <row r="22">
      <c r="A22" s="4"/>
      <c r="B22" s="4"/>
      <c r="C22" s="8" t="s">
        <v>1370</v>
      </c>
      <c r="D22" s="8" t="s">
        <v>1346</v>
      </c>
      <c r="E22" s="4"/>
    </row>
    <row r="23">
      <c r="A23" s="4"/>
      <c r="B23" s="4"/>
      <c r="C23" s="8" t="s">
        <v>1371</v>
      </c>
      <c r="D23" s="8" t="s">
        <v>1346</v>
      </c>
      <c r="E23" s="4"/>
    </row>
    <row r="24">
      <c r="A24" s="4"/>
      <c r="B24" s="4"/>
      <c r="C24" s="8" t="s">
        <v>1372</v>
      </c>
      <c r="D24" s="8" t="s">
        <v>1346</v>
      </c>
      <c r="E24" s="4"/>
    </row>
    <row r="25">
      <c r="A25" s="4"/>
      <c r="B25" s="4"/>
      <c r="C25" s="8" t="s">
        <v>1373</v>
      </c>
      <c r="D25" s="8" t="s">
        <v>1346</v>
      </c>
      <c r="E25" s="4"/>
    </row>
    <row r="26">
      <c r="A26" s="4"/>
      <c r="B26" s="4"/>
      <c r="C26" s="8" t="s">
        <v>1374</v>
      </c>
      <c r="D26" s="8" t="s">
        <v>1346</v>
      </c>
      <c r="E26" s="4"/>
    </row>
    <row r="27">
      <c r="A27" s="7" t="s">
        <v>1375</v>
      </c>
      <c r="B27" s="7" t="s">
        <v>1376</v>
      </c>
      <c r="C27" s="8" t="s">
        <v>1377</v>
      </c>
      <c r="D27" s="8" t="s">
        <v>1346</v>
      </c>
      <c r="E27" s="4"/>
    </row>
    <row r="28">
      <c r="A28" s="4"/>
      <c r="B28" s="4"/>
      <c r="C28" s="8" t="s">
        <v>1378</v>
      </c>
      <c r="D28" s="8" t="s">
        <v>1346</v>
      </c>
      <c r="E28" s="4"/>
    </row>
    <row r="29">
      <c r="A29" s="4"/>
      <c r="B29" s="4"/>
      <c r="C29" s="8" t="s">
        <v>1379</v>
      </c>
      <c r="D29" s="8" t="s">
        <v>1346</v>
      </c>
      <c r="E29" s="4"/>
    </row>
    <row r="30">
      <c r="A30" s="4"/>
      <c r="B30" s="4"/>
      <c r="C30" s="8" t="s">
        <v>1380</v>
      </c>
      <c r="D30" s="8" t="s">
        <v>1346</v>
      </c>
      <c r="E30" s="4"/>
    </row>
    <row r="31">
      <c r="A31" s="4"/>
      <c r="B31" s="4"/>
      <c r="C31" s="8" t="s">
        <v>1381</v>
      </c>
      <c r="D31" s="8" t="s">
        <v>1346</v>
      </c>
      <c r="E31" s="4"/>
    </row>
    <row r="32">
      <c r="A32" s="4"/>
      <c r="B32" s="4"/>
      <c r="C32" s="8" t="s">
        <v>1382</v>
      </c>
      <c r="D32" s="8" t="s">
        <v>1346</v>
      </c>
      <c r="E32" s="4"/>
    </row>
    <row r="33">
      <c r="A33" s="4"/>
      <c r="B33" s="4"/>
      <c r="C33" s="8" t="s">
        <v>1383</v>
      </c>
      <c r="D33" s="8" t="s">
        <v>1346</v>
      </c>
      <c r="E33" s="4"/>
    </row>
    <row r="34">
      <c r="A34" s="4"/>
      <c r="B34" s="4"/>
      <c r="C34" s="8" t="s">
        <v>1384</v>
      </c>
      <c r="D34" s="8" t="s">
        <v>1346</v>
      </c>
      <c r="E34" s="4"/>
    </row>
    <row r="35">
      <c r="A35" s="7" t="s">
        <v>1385</v>
      </c>
      <c r="B35" s="7" t="s">
        <v>1386</v>
      </c>
      <c r="C35" s="8" t="s">
        <v>1387</v>
      </c>
      <c r="D35" s="8" t="s">
        <v>1346</v>
      </c>
      <c r="E35" s="4"/>
    </row>
    <row r="36">
      <c r="A36" s="4"/>
      <c r="B36" s="4"/>
      <c r="C36" s="8" t="s">
        <v>1388</v>
      </c>
      <c r="D36" s="8" t="s">
        <v>1346</v>
      </c>
      <c r="E36" s="4"/>
    </row>
    <row r="37">
      <c r="A37" s="4"/>
      <c r="B37" s="4"/>
      <c r="C37" s="8" t="s">
        <v>1389</v>
      </c>
      <c r="D37" s="8" t="s">
        <v>1346</v>
      </c>
      <c r="E37" s="4"/>
    </row>
    <row r="38">
      <c r="A38" s="4"/>
      <c r="B38" s="4"/>
      <c r="C38" s="8" t="s">
        <v>1390</v>
      </c>
      <c r="D38" s="8" t="s">
        <v>1346</v>
      </c>
      <c r="E38" s="4"/>
    </row>
    <row r="39">
      <c r="A39" s="4"/>
      <c r="B39" s="4"/>
      <c r="C39" s="8" t="s">
        <v>1391</v>
      </c>
      <c r="D39" s="8" t="s">
        <v>1346</v>
      </c>
      <c r="E39" s="4"/>
    </row>
    <row r="40">
      <c r="A40" s="4"/>
      <c r="B40" s="4"/>
      <c r="C40" s="8" t="s">
        <v>1392</v>
      </c>
      <c r="D40" s="8" t="s">
        <v>1346</v>
      </c>
      <c r="E40" s="4"/>
    </row>
    <row r="41">
      <c r="A41" s="4"/>
      <c r="B41" s="4"/>
      <c r="C41" s="8" t="s">
        <v>1393</v>
      </c>
      <c r="D41" s="8" t="s">
        <v>1346</v>
      </c>
      <c r="E41" s="4"/>
    </row>
    <row r="42">
      <c r="A42" s="4"/>
      <c r="B42" s="4"/>
      <c r="C42" s="8" t="s">
        <v>1394</v>
      </c>
      <c r="D42" s="8" t="s">
        <v>1346</v>
      </c>
      <c r="E42" s="4"/>
    </row>
    <row r="43">
      <c r="A43" s="7" t="s">
        <v>1395</v>
      </c>
      <c r="B43" s="7" t="s">
        <v>1396</v>
      </c>
      <c r="C43" s="8" t="s">
        <v>1397</v>
      </c>
      <c r="D43" s="8" t="s">
        <v>1346</v>
      </c>
      <c r="E43" s="4"/>
    </row>
    <row r="44">
      <c r="A44" s="4"/>
      <c r="B44" s="4"/>
      <c r="C44" s="8" t="s">
        <v>1398</v>
      </c>
      <c r="D44" s="8" t="s">
        <v>1346</v>
      </c>
      <c r="E44" s="4"/>
    </row>
    <row r="45">
      <c r="A45" s="4"/>
      <c r="B45" s="4"/>
      <c r="C45" s="8" t="s">
        <v>1399</v>
      </c>
      <c r="D45" s="8" t="s">
        <v>1346</v>
      </c>
      <c r="E45" s="4"/>
    </row>
    <row r="46">
      <c r="A46" s="4"/>
      <c r="B46" s="4"/>
      <c r="C46" s="8" t="s">
        <v>1400</v>
      </c>
      <c r="D46" s="8" t="s">
        <v>1346</v>
      </c>
      <c r="E46" s="4"/>
    </row>
    <row r="47">
      <c r="A47" s="4"/>
      <c r="B47" s="4"/>
      <c r="C47" s="8" t="s">
        <v>1401</v>
      </c>
      <c r="D47" s="8" t="s">
        <v>1346</v>
      </c>
      <c r="E47" s="4"/>
    </row>
    <row r="48">
      <c r="A48" s="4"/>
      <c r="B48" s="4"/>
      <c r="C48" s="8" t="s">
        <v>1402</v>
      </c>
      <c r="D48" s="8" t="s">
        <v>1346</v>
      </c>
      <c r="E48" s="4"/>
    </row>
    <row r="49">
      <c r="A49" s="4"/>
      <c r="B49" s="4"/>
      <c r="C49" s="8" t="s">
        <v>1403</v>
      </c>
      <c r="D49" s="8" t="s">
        <v>1346</v>
      </c>
      <c r="E49" s="4"/>
    </row>
    <row r="50">
      <c r="A50" s="4"/>
      <c r="B50" s="4"/>
      <c r="C50" s="8" t="s">
        <v>1404</v>
      </c>
      <c r="D50" s="8" t="s">
        <v>1346</v>
      </c>
      <c r="E50" s="4"/>
    </row>
    <row r="51">
      <c r="A51" s="7" t="s">
        <v>1405</v>
      </c>
      <c r="B51" s="7" t="s">
        <v>1406</v>
      </c>
      <c r="C51" s="8" t="s">
        <v>1407</v>
      </c>
      <c r="D51" s="8" t="s">
        <v>1346</v>
      </c>
      <c r="E51" s="4"/>
    </row>
    <row r="52">
      <c r="A52" s="4"/>
      <c r="B52" s="4"/>
      <c r="C52" s="8" t="s">
        <v>1408</v>
      </c>
      <c r="D52" s="8" t="s">
        <v>1346</v>
      </c>
      <c r="E52" s="4"/>
    </row>
    <row r="53">
      <c r="A53" s="4"/>
      <c r="B53" s="4"/>
      <c r="C53" s="8" t="s">
        <v>1409</v>
      </c>
      <c r="D53" s="8" t="s">
        <v>1346</v>
      </c>
      <c r="E53" s="4"/>
    </row>
    <row r="54">
      <c r="A54" s="4"/>
      <c r="B54" s="4"/>
      <c r="C54" s="8" t="s">
        <v>1410</v>
      </c>
      <c r="D54" s="8" t="s">
        <v>1346</v>
      </c>
      <c r="E54" s="4"/>
    </row>
    <row r="55">
      <c r="A55" s="4"/>
      <c r="B55" s="4"/>
      <c r="C55" s="8" t="s">
        <v>1411</v>
      </c>
      <c r="D55" s="8" t="s">
        <v>1346</v>
      </c>
      <c r="E55" s="4"/>
    </row>
    <row r="56">
      <c r="A56" s="4"/>
      <c r="B56" s="4"/>
      <c r="C56" s="8" t="s">
        <v>1412</v>
      </c>
      <c r="D56" s="8" t="s">
        <v>1346</v>
      </c>
      <c r="E56" s="4"/>
    </row>
    <row r="57">
      <c r="A57" s="7" t="s">
        <v>1413</v>
      </c>
      <c r="B57" s="7" t="s">
        <v>1414</v>
      </c>
      <c r="C57" s="8" t="s">
        <v>1415</v>
      </c>
      <c r="D57" s="8" t="s">
        <v>1346</v>
      </c>
      <c r="E57" s="4"/>
    </row>
    <row r="58">
      <c r="A58" s="4"/>
      <c r="B58" s="4"/>
      <c r="C58" s="8" t="s">
        <v>1416</v>
      </c>
      <c r="D58" s="8" t="s">
        <v>1346</v>
      </c>
      <c r="E58" s="4"/>
    </row>
    <row r="59">
      <c r="A59" s="4"/>
      <c r="B59" s="4"/>
      <c r="C59" s="8" t="s">
        <v>1417</v>
      </c>
      <c r="D59" s="8" t="s">
        <v>1346</v>
      </c>
      <c r="E59" s="4"/>
    </row>
    <row r="60">
      <c r="A60" s="4"/>
      <c r="B60" s="4"/>
      <c r="C60" s="8" t="s">
        <v>1418</v>
      </c>
      <c r="D60" s="8" t="s">
        <v>1346</v>
      </c>
      <c r="E60" s="4"/>
    </row>
    <row r="61">
      <c r="A61" s="4"/>
      <c r="B61" s="4"/>
      <c r="C61" s="8" t="s">
        <v>1419</v>
      </c>
      <c r="D61" s="8" t="s">
        <v>1346</v>
      </c>
      <c r="E61" s="4"/>
    </row>
    <row r="62">
      <c r="A62" s="4"/>
      <c r="B62" s="4"/>
      <c r="C62" s="8" t="s">
        <v>1420</v>
      </c>
      <c r="D62" s="8" t="s">
        <v>1346</v>
      </c>
      <c r="E62" s="4"/>
    </row>
    <row r="63">
      <c r="A63" s="7" t="s">
        <v>1421</v>
      </c>
      <c r="B63" s="7" t="s">
        <v>1422</v>
      </c>
      <c r="C63" s="8" t="s">
        <v>1423</v>
      </c>
      <c r="D63" s="8" t="s">
        <v>1346</v>
      </c>
      <c r="E63" s="4"/>
    </row>
    <row r="64">
      <c r="A64" s="4"/>
      <c r="B64" s="4"/>
      <c r="C64" s="8" t="s">
        <v>1424</v>
      </c>
      <c r="D64" s="8" t="s">
        <v>1346</v>
      </c>
      <c r="E64" s="4"/>
    </row>
    <row r="65">
      <c r="A65" s="4"/>
      <c r="B65" s="4"/>
      <c r="C65" s="8" t="s">
        <v>1425</v>
      </c>
      <c r="D65" s="8" t="s">
        <v>1346</v>
      </c>
      <c r="E65" s="4"/>
    </row>
    <row r="66">
      <c r="A66" s="4"/>
      <c r="B66" s="4"/>
      <c r="C66" s="8" t="s">
        <v>1426</v>
      </c>
      <c r="D66" s="8" t="s">
        <v>1346</v>
      </c>
      <c r="E66" s="4"/>
    </row>
    <row r="67">
      <c r="A67" s="4"/>
      <c r="B67" s="4"/>
      <c r="C67" s="8" t="s">
        <v>1427</v>
      </c>
      <c r="D67" s="8" t="s">
        <v>1346</v>
      </c>
      <c r="E67" s="4"/>
    </row>
    <row r="68">
      <c r="A68" s="4"/>
      <c r="B68" s="4"/>
      <c r="C68" s="8" t="s">
        <v>1428</v>
      </c>
      <c r="D68" s="8" t="s">
        <v>1346</v>
      </c>
      <c r="E68" s="4"/>
    </row>
    <row r="69">
      <c r="A69" s="7" t="s">
        <v>1429</v>
      </c>
      <c r="B69" s="7" t="s">
        <v>1430</v>
      </c>
      <c r="C69" s="8" t="s">
        <v>1431</v>
      </c>
      <c r="D69" s="8" t="s">
        <v>1346</v>
      </c>
      <c r="E69" s="4"/>
    </row>
    <row r="70">
      <c r="A70" s="4"/>
      <c r="B70" s="4"/>
      <c r="C70" s="8" t="s">
        <v>1432</v>
      </c>
      <c r="D70" s="8" t="s">
        <v>1346</v>
      </c>
      <c r="E70" s="4"/>
    </row>
    <row r="71">
      <c r="A71" s="4"/>
      <c r="B71" s="4"/>
      <c r="C71" s="8" t="s">
        <v>1433</v>
      </c>
      <c r="D71" s="8" t="s">
        <v>1346</v>
      </c>
      <c r="E71" s="4"/>
    </row>
    <row r="72">
      <c r="A72" s="4"/>
      <c r="B72" s="4"/>
      <c r="C72" s="8" t="s">
        <v>1434</v>
      </c>
      <c r="D72" s="8" t="s">
        <v>1346</v>
      </c>
      <c r="E72" s="4"/>
    </row>
    <row r="73">
      <c r="A73" s="4"/>
      <c r="B73" s="4"/>
      <c r="C73" s="8" t="s">
        <v>1435</v>
      </c>
      <c r="D73" s="8" t="s">
        <v>1346</v>
      </c>
      <c r="E73" s="4"/>
    </row>
    <row r="74">
      <c r="A74" s="4"/>
      <c r="B74" s="4"/>
      <c r="C74" s="8" t="s">
        <v>1436</v>
      </c>
      <c r="D74" s="8" t="s">
        <v>1346</v>
      </c>
      <c r="E74" s="4"/>
    </row>
    <row r="75">
      <c r="A75" s="7" t="s">
        <v>1437</v>
      </c>
      <c r="B75" s="7" t="s">
        <v>1438</v>
      </c>
      <c r="C75" s="8" t="s">
        <v>1439</v>
      </c>
      <c r="D75" s="8" t="s">
        <v>1346</v>
      </c>
      <c r="E75" s="4"/>
    </row>
    <row r="76">
      <c r="A76" s="4"/>
      <c r="B76" s="4"/>
      <c r="C76" s="8" t="s">
        <v>1440</v>
      </c>
      <c r="D76" s="8" t="s">
        <v>1346</v>
      </c>
      <c r="E76" s="4"/>
    </row>
    <row r="77">
      <c r="A77" s="4"/>
      <c r="B77" s="4"/>
      <c r="C77" s="8" t="s">
        <v>1441</v>
      </c>
      <c r="D77" s="8" t="s">
        <v>1346</v>
      </c>
      <c r="E77" s="4"/>
    </row>
    <row r="78">
      <c r="A78" s="4"/>
      <c r="B78" s="4"/>
      <c r="C78" s="8" t="s">
        <v>1442</v>
      </c>
      <c r="D78" s="8" t="s">
        <v>1346</v>
      </c>
      <c r="E78" s="4"/>
    </row>
    <row r="79">
      <c r="A79" s="4"/>
      <c r="B79" s="4"/>
      <c r="C79" s="8" t="s">
        <v>1443</v>
      </c>
      <c r="D79" s="8" t="s">
        <v>1346</v>
      </c>
      <c r="E79" s="4"/>
    </row>
    <row r="80">
      <c r="A80" s="7" t="s">
        <v>1444</v>
      </c>
      <c r="B80" s="7" t="s">
        <v>1445</v>
      </c>
      <c r="C80" s="8" t="s">
        <v>1446</v>
      </c>
      <c r="D80" s="8" t="s">
        <v>1346</v>
      </c>
      <c r="E80" s="4"/>
    </row>
    <row r="81">
      <c r="A81" s="4"/>
      <c r="B81" s="4"/>
      <c r="C81" s="8" t="s">
        <v>1447</v>
      </c>
      <c r="D81" s="8" t="s">
        <v>1346</v>
      </c>
      <c r="E81" s="4"/>
    </row>
    <row r="82">
      <c r="A82" s="4"/>
      <c r="B82" s="4"/>
      <c r="C82" s="8" t="s">
        <v>1448</v>
      </c>
      <c r="D82" s="8" t="s">
        <v>1346</v>
      </c>
      <c r="E82" s="4"/>
    </row>
    <row r="83">
      <c r="A83" s="4"/>
      <c r="B83" s="4"/>
      <c r="C83" s="8" t="s">
        <v>1449</v>
      </c>
      <c r="D83" s="8" t="s">
        <v>1346</v>
      </c>
      <c r="E83" s="4"/>
    </row>
    <row r="84">
      <c r="A84" s="4"/>
      <c r="B84" s="4"/>
      <c r="C84" s="8" t="s">
        <v>1450</v>
      </c>
      <c r="D84" s="8" t="s">
        <v>1346</v>
      </c>
      <c r="E84" s="4"/>
    </row>
    <row r="85">
      <c r="A85" s="4"/>
      <c r="B85" s="4"/>
      <c r="C85" s="8" t="s">
        <v>1451</v>
      </c>
      <c r="D85" s="8" t="s">
        <v>1346</v>
      </c>
      <c r="E85" s="4"/>
    </row>
    <row r="86">
      <c r="A86" s="7" t="s">
        <v>1452</v>
      </c>
      <c r="B86" s="7" t="s">
        <v>1453</v>
      </c>
      <c r="C86" s="8" t="s">
        <v>1454</v>
      </c>
      <c r="D86" s="8" t="s">
        <v>1346</v>
      </c>
      <c r="E86" s="4"/>
    </row>
    <row r="87">
      <c r="A87" s="4"/>
      <c r="B87" s="4"/>
      <c r="C87" s="8" t="s">
        <v>1455</v>
      </c>
      <c r="D87" s="8" t="s">
        <v>1346</v>
      </c>
      <c r="E87" s="4"/>
    </row>
    <row r="88">
      <c r="A88" s="4"/>
      <c r="B88" s="4"/>
      <c r="C88" s="8" t="s">
        <v>1456</v>
      </c>
      <c r="D88" s="8" t="s">
        <v>1346</v>
      </c>
      <c r="E88" s="4"/>
    </row>
    <row r="89">
      <c r="A89" s="4"/>
      <c r="B89" s="4"/>
      <c r="C89" s="8" t="s">
        <v>1457</v>
      </c>
      <c r="D89" s="8" t="s">
        <v>1346</v>
      </c>
      <c r="E89" s="4"/>
    </row>
    <row r="90">
      <c r="A90" s="4"/>
      <c r="B90" s="4"/>
      <c r="C90" s="8" t="s">
        <v>1458</v>
      </c>
      <c r="D90" s="8" t="s">
        <v>1346</v>
      </c>
      <c r="E90" s="4"/>
    </row>
    <row r="91">
      <c r="A91" s="4"/>
      <c r="B91" s="4"/>
      <c r="C91" s="8" t="s">
        <v>1459</v>
      </c>
      <c r="D91" s="8" t="s">
        <v>1346</v>
      </c>
      <c r="E91" s="4"/>
    </row>
    <row r="92">
      <c r="A92" s="7" t="s">
        <v>1460</v>
      </c>
      <c r="B92" s="7" t="s">
        <v>1461</v>
      </c>
      <c r="C92" s="8" t="s">
        <v>1462</v>
      </c>
      <c r="D92" s="8" t="s">
        <v>1346</v>
      </c>
      <c r="E92" s="4"/>
    </row>
    <row r="93">
      <c r="A93" s="4"/>
      <c r="B93" s="4"/>
      <c r="C93" s="8" t="s">
        <v>1463</v>
      </c>
      <c r="D93" s="8" t="s">
        <v>1346</v>
      </c>
      <c r="E93" s="4"/>
    </row>
    <row r="94">
      <c r="A94" s="4"/>
      <c r="B94" s="4"/>
      <c r="C94" s="8" t="s">
        <v>1464</v>
      </c>
      <c r="D94" s="8" t="s">
        <v>1346</v>
      </c>
      <c r="E94" s="4"/>
    </row>
    <row r="95">
      <c r="A95" s="4"/>
      <c r="B95" s="4"/>
      <c r="C95" s="8" t="s">
        <v>1465</v>
      </c>
      <c r="D95" s="8" t="s">
        <v>1346</v>
      </c>
      <c r="E95" s="4"/>
    </row>
    <row r="96">
      <c r="A96" s="4"/>
      <c r="B96" s="4"/>
      <c r="C96" s="8" t="s">
        <v>1466</v>
      </c>
      <c r="D96" s="8" t="s">
        <v>1346</v>
      </c>
      <c r="E96" s="4"/>
    </row>
    <row r="97">
      <c r="A97" s="4"/>
      <c r="B97" s="4"/>
      <c r="C97" s="8" t="s">
        <v>1467</v>
      </c>
      <c r="D97" s="8" t="s">
        <v>1346</v>
      </c>
      <c r="E97" s="4"/>
    </row>
    <row r="98">
      <c r="A98" s="7" t="s">
        <v>1468</v>
      </c>
      <c r="B98" s="7" t="s">
        <v>1469</v>
      </c>
      <c r="C98" s="8" t="s">
        <v>1470</v>
      </c>
      <c r="D98" s="8" t="s">
        <v>1346</v>
      </c>
      <c r="E98" s="4"/>
    </row>
    <row r="99">
      <c r="A99" s="4"/>
      <c r="B99" s="4"/>
      <c r="C99" s="8" t="s">
        <v>1471</v>
      </c>
      <c r="D99" s="8" t="s">
        <v>1346</v>
      </c>
      <c r="E99" s="4"/>
    </row>
    <row r="100">
      <c r="A100" s="4"/>
      <c r="B100" s="4"/>
      <c r="C100" s="8" t="s">
        <v>1472</v>
      </c>
      <c r="D100" s="8" t="s">
        <v>1346</v>
      </c>
      <c r="E100" s="4"/>
    </row>
    <row r="101">
      <c r="A101" s="4"/>
      <c r="B101" s="4"/>
      <c r="C101" s="8" t="s">
        <v>1473</v>
      </c>
      <c r="D101" s="8" t="s">
        <v>1346</v>
      </c>
      <c r="E101" s="4"/>
    </row>
    <row r="102">
      <c r="A102" s="4"/>
      <c r="B102" s="4"/>
      <c r="C102" s="8" t="s">
        <v>1474</v>
      </c>
      <c r="D102" s="8" t="s">
        <v>1346</v>
      </c>
      <c r="E102" s="4"/>
    </row>
    <row r="103">
      <c r="A103" s="7" t="s">
        <v>1475</v>
      </c>
      <c r="B103" s="7" t="s">
        <v>1476</v>
      </c>
      <c r="C103" s="8" t="s">
        <v>1477</v>
      </c>
      <c r="D103" s="8" t="s">
        <v>1346</v>
      </c>
      <c r="E103" s="4"/>
    </row>
    <row r="104">
      <c r="A104" s="4"/>
      <c r="B104" s="4"/>
      <c r="C104" s="8" t="s">
        <v>1478</v>
      </c>
      <c r="D104" s="8" t="s">
        <v>1346</v>
      </c>
      <c r="E104" s="4"/>
    </row>
    <row r="105">
      <c r="A105" s="4"/>
      <c r="B105" s="4"/>
      <c r="C105" s="8" t="s">
        <v>1479</v>
      </c>
      <c r="D105" s="8" t="s">
        <v>1346</v>
      </c>
      <c r="E105" s="4"/>
    </row>
    <row r="106">
      <c r="A106" s="4"/>
      <c r="B106" s="4"/>
      <c r="C106" s="8" t="s">
        <v>1480</v>
      </c>
      <c r="D106" s="8" t="s">
        <v>1346</v>
      </c>
      <c r="E106" s="4"/>
    </row>
    <row r="107">
      <c r="A107" s="4"/>
      <c r="B107" s="4"/>
      <c r="C107" s="8" t="s">
        <v>1481</v>
      </c>
      <c r="D107" s="8" t="s">
        <v>1346</v>
      </c>
      <c r="E107" s="4"/>
    </row>
    <row r="108">
      <c r="A108" s="4"/>
      <c r="B108" s="4"/>
      <c r="C108" s="8" t="s">
        <v>1482</v>
      </c>
      <c r="D108" s="8" t="s">
        <v>1346</v>
      </c>
      <c r="E108" s="4"/>
    </row>
    <row r="109">
      <c r="A109" s="7" t="s">
        <v>1483</v>
      </c>
      <c r="B109" s="7" t="s">
        <v>1484</v>
      </c>
      <c r="C109" s="8" t="s">
        <v>1485</v>
      </c>
      <c r="D109" s="8" t="s">
        <v>1346</v>
      </c>
      <c r="E109" s="4"/>
    </row>
    <row r="110">
      <c r="A110" s="4"/>
      <c r="B110" s="4"/>
      <c r="C110" s="8" t="s">
        <v>1486</v>
      </c>
      <c r="D110" s="8" t="s">
        <v>1346</v>
      </c>
      <c r="E110" s="4"/>
    </row>
    <row r="111">
      <c r="A111" s="4"/>
      <c r="B111" s="4"/>
      <c r="C111" s="8" t="s">
        <v>1487</v>
      </c>
      <c r="D111" s="8" t="s">
        <v>1346</v>
      </c>
      <c r="E111" s="4"/>
    </row>
    <row r="112">
      <c r="A112" s="4"/>
      <c r="B112" s="4"/>
      <c r="C112" s="8" t="s">
        <v>1488</v>
      </c>
      <c r="D112" s="8" t="s">
        <v>1346</v>
      </c>
      <c r="E112" s="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5" t="s">
        <v>1286</v>
      </c>
      <c r="B1" s="23" t="s">
        <v>1249</v>
      </c>
      <c r="C1" s="23" t="s">
        <v>1250</v>
      </c>
      <c r="D1" s="16" t="s">
        <v>1489</v>
      </c>
      <c r="E1" s="23" t="s">
        <v>4</v>
      </c>
      <c r="F1" s="23" t="s">
        <v>1287</v>
      </c>
    </row>
    <row r="2">
      <c r="A2" s="27">
        <v>46043.86497210649</v>
      </c>
      <c r="B2" s="16" t="s">
        <v>1140</v>
      </c>
      <c r="C2" s="23" t="s">
        <v>1309</v>
      </c>
      <c r="D2" s="16" t="s">
        <v>1490</v>
      </c>
      <c r="E2" s="16" t="s">
        <v>1289</v>
      </c>
      <c r="F2" s="16" t="s">
        <v>1288</v>
      </c>
    </row>
    <row r="3">
      <c r="A3" s="29"/>
    </row>
    <row r="4">
      <c r="A4" s="29"/>
    </row>
    <row r="5">
      <c r="A5" s="29"/>
    </row>
    <row r="6">
      <c r="A6" s="29"/>
    </row>
    <row r="7">
      <c r="A7" s="29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6" t="s">
        <v>1491</v>
      </c>
      <c r="B1" s="47" t="s">
        <v>1492</v>
      </c>
      <c r="C1" s="47" t="s">
        <v>1493</v>
      </c>
      <c r="D1" s="47" t="s">
        <v>1494</v>
      </c>
    </row>
    <row r="2">
      <c r="A2" s="23" t="s">
        <v>1130</v>
      </c>
      <c r="B2" s="17">
        <v>0.0</v>
      </c>
      <c r="C2" s="17">
        <v>13.0</v>
      </c>
      <c r="D2" s="48">
        <f t="shared" ref="D2:D3" si="1">B2-C2</f>
        <v>-13</v>
      </c>
    </row>
    <row r="3">
      <c r="A3" s="23" t="s">
        <v>1136</v>
      </c>
      <c r="B3" s="17">
        <v>0.0</v>
      </c>
      <c r="C3" s="17">
        <v>0.0</v>
      </c>
      <c r="D3" s="48">
        <f t="shared" si="1"/>
        <v>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/>
  </sheetViews>
  <sheetFormatPr customHeight="1" defaultColWidth="12.63" defaultRowHeight="15.75"/>
  <sheetData>
    <row r="1">
      <c r="A1" s="49">
        <v>46042.92526857639</v>
      </c>
      <c r="B1" s="50" t="s">
        <v>1495</v>
      </c>
      <c r="C1" s="47" t="s">
        <v>1138</v>
      </c>
      <c r="D1" s="47" t="s">
        <v>1139</v>
      </c>
      <c r="E1" s="50" t="s">
        <v>1128</v>
      </c>
      <c r="F1" s="51"/>
      <c r="G1" s="51"/>
      <c r="H1" s="52">
        <v>8.0</v>
      </c>
      <c r="I1" s="50" t="s">
        <v>1129</v>
      </c>
      <c r="J1" s="47" t="s">
        <v>1130</v>
      </c>
      <c r="K1" s="47" t="s">
        <v>1131</v>
      </c>
      <c r="L1" s="47" t="s">
        <v>1300</v>
      </c>
    </row>
    <row r="2">
      <c r="A2" s="27">
        <v>46042.92534428241</v>
      </c>
      <c r="B2" s="16" t="s">
        <v>1495</v>
      </c>
      <c r="C2" s="23" t="s">
        <v>1138</v>
      </c>
      <c r="D2" s="23" t="s">
        <v>1139</v>
      </c>
      <c r="E2" s="16" t="s">
        <v>1128</v>
      </c>
      <c r="H2" s="17">
        <v>5.0</v>
      </c>
      <c r="I2" s="16" t="s">
        <v>1133</v>
      </c>
      <c r="J2" s="23" t="s">
        <v>1130</v>
      </c>
      <c r="K2" s="23" t="s">
        <v>1131</v>
      </c>
      <c r="L2" s="16" t="s">
        <v>1303</v>
      </c>
    </row>
    <row r="3">
      <c r="A3" s="27">
        <v>46042.92539912037</v>
      </c>
      <c r="B3" s="16" t="s">
        <v>1495</v>
      </c>
      <c r="C3" s="23" t="s">
        <v>1138</v>
      </c>
      <c r="D3" s="23" t="s">
        <v>1139</v>
      </c>
      <c r="E3" s="16" t="s">
        <v>1128</v>
      </c>
      <c r="H3" s="17">
        <v>0.0</v>
      </c>
      <c r="I3" s="23" t="s">
        <v>1135</v>
      </c>
      <c r="J3" s="23" t="s">
        <v>1136</v>
      </c>
      <c r="K3" s="23" t="s">
        <v>1136</v>
      </c>
      <c r="L3" s="23" t="s">
        <v>1307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53" t="s">
        <v>1286</v>
      </c>
      <c r="B1" s="47" t="s">
        <v>1496</v>
      </c>
      <c r="C1" s="47" t="s">
        <v>1497</v>
      </c>
      <c r="D1" s="47" t="s">
        <v>1498</v>
      </c>
      <c r="E1" s="47" t="s">
        <v>1499</v>
      </c>
    </row>
    <row r="2">
      <c r="A2" s="27">
        <v>46042.92526083333</v>
      </c>
      <c r="B2" s="16" t="s">
        <v>1500</v>
      </c>
      <c r="C2" s="16" t="s">
        <v>1501</v>
      </c>
      <c r="D2" s="16" t="s">
        <v>1502</v>
      </c>
      <c r="E2" s="16" t="s">
        <v>1503</v>
      </c>
    </row>
    <row r="3">
      <c r="A3" s="27">
        <v>46042.925308854166</v>
      </c>
      <c r="B3" s="16" t="s">
        <v>1500</v>
      </c>
      <c r="C3" s="16" t="s">
        <v>1504</v>
      </c>
      <c r="D3" s="16" t="s">
        <v>1505</v>
      </c>
      <c r="E3" s="23" t="s">
        <v>1300</v>
      </c>
    </row>
    <row r="4">
      <c r="A4" s="27">
        <v>46042.925326875</v>
      </c>
      <c r="B4" s="16" t="s">
        <v>1500</v>
      </c>
      <c r="C4" s="16" t="s">
        <v>1501</v>
      </c>
      <c r="D4" s="16" t="s">
        <v>1502</v>
      </c>
      <c r="E4" s="16" t="s">
        <v>1506</v>
      </c>
    </row>
    <row r="5">
      <c r="A5" s="27">
        <v>46042.925364814815</v>
      </c>
      <c r="B5" s="16" t="s">
        <v>1500</v>
      </c>
      <c r="C5" s="16" t="s">
        <v>1504</v>
      </c>
      <c r="D5" s="16" t="s">
        <v>1505</v>
      </c>
      <c r="E5" s="16" t="s">
        <v>1303</v>
      </c>
    </row>
    <row r="6">
      <c r="A6" s="27">
        <v>46042.92538893518</v>
      </c>
      <c r="B6" s="16" t="s">
        <v>1500</v>
      </c>
      <c r="C6" s="16" t="s">
        <v>1501</v>
      </c>
      <c r="D6" s="16" t="s">
        <v>1502</v>
      </c>
      <c r="E6" s="16" t="s">
        <v>1506</v>
      </c>
    </row>
    <row r="7">
      <c r="A7" s="27">
        <v>46042.92542817129</v>
      </c>
      <c r="B7" s="16" t="s">
        <v>1500</v>
      </c>
      <c r="C7" s="16" t="s">
        <v>1504</v>
      </c>
      <c r="D7" s="16" t="s">
        <v>1505</v>
      </c>
      <c r="E7" s="23" t="s">
        <v>1307</v>
      </c>
    </row>
    <row r="8">
      <c r="A8" s="27">
        <v>46042.92545032407</v>
      </c>
      <c r="B8" s="16" t="s">
        <v>1500</v>
      </c>
      <c r="C8" s="16" t="s">
        <v>1501</v>
      </c>
      <c r="D8" s="16" t="s">
        <v>1502</v>
      </c>
      <c r="E8" s="16" t="s">
        <v>1506</v>
      </c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/>
  </sheetViews>
  <sheetFormatPr customHeight="1" defaultColWidth="12.63" defaultRowHeight="15.75"/>
  <cols>
    <col customWidth="1" min="1" max="1" width="31.38"/>
    <col customWidth="1" min="2" max="2" width="18.88"/>
    <col customWidth="1" min="3" max="3" width="37.63"/>
    <col customWidth="1" min="4" max="4" width="18.88"/>
    <col customWidth="1" min="5" max="5" width="12.63"/>
  </cols>
  <sheetData>
    <row r="1" ht="37.5" customHeight="1">
      <c r="A1" s="37" t="s">
        <v>113</v>
      </c>
      <c r="F1" s="54" t="s">
        <v>118</v>
      </c>
    </row>
    <row r="2">
      <c r="A2" s="55" t="s">
        <v>126</v>
      </c>
      <c r="B2" s="56">
        <v>46044.00070440972</v>
      </c>
      <c r="C2" s="41"/>
      <c r="D2" s="57">
        <v>0.0</v>
      </c>
      <c r="E2" s="41"/>
    </row>
    <row r="3">
      <c r="A3" s="58" t="s">
        <v>129</v>
      </c>
      <c r="B3" s="59">
        <v>46044.0007044213</v>
      </c>
      <c r="C3" s="58"/>
      <c r="D3" s="58">
        <v>0.0</v>
      </c>
      <c r="E3" s="58"/>
    </row>
    <row r="4">
      <c r="A4" s="55" t="s">
        <v>130</v>
      </c>
      <c r="B4" s="56">
        <v>46044.0007044213</v>
      </c>
      <c r="C4" s="41"/>
      <c r="D4" s="57">
        <v>0.0</v>
      </c>
      <c r="E4" s="41"/>
    </row>
    <row r="5">
      <c r="A5" s="55" t="s">
        <v>131</v>
      </c>
      <c r="B5" s="56">
        <v>46044.0007044213</v>
      </c>
      <c r="C5" s="41"/>
      <c r="D5" s="57">
        <v>0.0</v>
      </c>
      <c r="E5" s="41"/>
    </row>
    <row r="6">
      <c r="A6" s="55" t="s">
        <v>132</v>
      </c>
      <c r="B6" s="56">
        <v>46044.0007044213</v>
      </c>
      <c r="C6" s="41"/>
      <c r="D6" s="57">
        <v>0.0</v>
      </c>
      <c r="E6" s="41"/>
    </row>
    <row r="7">
      <c r="A7" s="55" t="s">
        <v>133</v>
      </c>
      <c r="B7" s="56">
        <v>46044.0007044213</v>
      </c>
      <c r="C7" s="41"/>
      <c r="D7" s="57">
        <v>0.0</v>
      </c>
      <c r="E7" s="41"/>
    </row>
    <row r="8">
      <c r="A8" s="55" t="s">
        <v>134</v>
      </c>
      <c r="B8" s="56">
        <v>46044.0007044213</v>
      </c>
      <c r="C8" s="41"/>
      <c r="D8" s="57">
        <v>0.0</v>
      </c>
      <c r="E8" s="41"/>
    </row>
    <row r="9">
      <c r="A9" s="55" t="s">
        <v>135</v>
      </c>
      <c r="B9" s="56">
        <v>46044.0007044213</v>
      </c>
      <c r="C9" s="41"/>
      <c r="D9" s="57">
        <v>0.0</v>
      </c>
      <c r="E9" s="41"/>
    </row>
    <row r="10">
      <c r="A10" s="55" t="s">
        <v>136</v>
      </c>
      <c r="B10" s="56">
        <v>46044.0007044213</v>
      </c>
      <c r="C10" s="41"/>
      <c r="D10" s="57">
        <v>0.0</v>
      </c>
      <c r="E10" s="41"/>
    </row>
    <row r="11">
      <c r="A11" s="55" t="s">
        <v>137</v>
      </c>
      <c r="B11" s="56">
        <v>46044.0007044213</v>
      </c>
      <c r="C11" s="41"/>
      <c r="D11" s="57">
        <v>0.0</v>
      </c>
      <c r="E11" s="41"/>
    </row>
    <row r="12">
      <c r="A12" s="16" t="s">
        <v>138</v>
      </c>
      <c r="B12" s="30">
        <v>46044.0007044213</v>
      </c>
      <c r="C12" s="17"/>
      <c r="D12" s="16">
        <v>0.0</v>
      </c>
      <c r="E12" s="16"/>
      <c r="F12" s="16"/>
    </row>
    <row r="13">
      <c r="A13" s="16" t="s">
        <v>139</v>
      </c>
      <c r="B13" s="30">
        <v>46044.0007044213</v>
      </c>
      <c r="C13" s="17"/>
      <c r="D13" s="16">
        <v>0.0</v>
      </c>
      <c r="E13" s="16"/>
      <c r="F13" s="16"/>
    </row>
    <row r="14">
      <c r="A14" s="16" t="s">
        <v>140</v>
      </c>
      <c r="B14" s="30">
        <v>46044.0007044213</v>
      </c>
      <c r="C14" s="17"/>
      <c r="D14" s="16">
        <v>0.0</v>
      </c>
      <c r="E14" s="16"/>
      <c r="F14" s="16"/>
    </row>
    <row r="15">
      <c r="A15" s="16" t="s">
        <v>141</v>
      </c>
      <c r="B15" s="30">
        <v>46044.0007044213</v>
      </c>
      <c r="C15" s="17"/>
      <c r="D15" s="16">
        <v>0.0</v>
      </c>
      <c r="E15" s="16"/>
    </row>
    <row r="16">
      <c r="A16" s="16" t="s">
        <v>142</v>
      </c>
      <c r="B16" s="30">
        <v>46044.0007044213</v>
      </c>
      <c r="C16" s="17"/>
      <c r="D16" s="16">
        <v>0.0</v>
      </c>
      <c r="E16" s="16"/>
    </row>
    <row r="17">
      <c r="A17" s="16" t="s">
        <v>143</v>
      </c>
      <c r="B17" s="27">
        <v>46044.0007044213</v>
      </c>
      <c r="C17" s="23"/>
      <c r="D17" s="17">
        <v>0.0</v>
      </c>
      <c r="E17" s="23"/>
      <c r="F17" s="16"/>
    </row>
    <row r="18">
      <c r="A18" s="16" t="s">
        <v>144</v>
      </c>
      <c r="B18" s="27">
        <v>46044.0007044213</v>
      </c>
      <c r="C18" s="23"/>
      <c r="D18" s="17">
        <v>0.0</v>
      </c>
      <c r="E18" s="23"/>
      <c r="F18" s="16"/>
    </row>
    <row r="19">
      <c r="A19" s="16" t="s">
        <v>145</v>
      </c>
      <c r="B19" s="30">
        <v>46044.0007044213</v>
      </c>
      <c r="C19" s="17"/>
      <c r="D19" s="16">
        <v>0.0</v>
      </c>
      <c r="E19" s="16"/>
    </row>
    <row r="20">
      <c r="A20" s="16" t="s">
        <v>146</v>
      </c>
      <c r="B20" s="27">
        <v>46044.0007044213</v>
      </c>
      <c r="C20" s="16"/>
      <c r="D20" s="17">
        <v>0.0</v>
      </c>
      <c r="E20" s="23"/>
      <c r="F20" s="16"/>
    </row>
    <row r="21">
      <c r="A21" s="16" t="s">
        <v>147</v>
      </c>
      <c r="B21" s="27">
        <v>46044.0007044213</v>
      </c>
      <c r="C21" s="16"/>
      <c r="D21" s="17">
        <v>0.0</v>
      </c>
      <c r="E21" s="23"/>
      <c r="F21" s="16"/>
    </row>
    <row r="22">
      <c r="A22" s="16" t="s">
        <v>148</v>
      </c>
      <c r="B22" s="27">
        <v>46044.0007044213</v>
      </c>
      <c r="C22" s="23"/>
      <c r="D22" s="17">
        <v>0.0</v>
      </c>
      <c r="E22" s="23"/>
      <c r="F22" s="16"/>
    </row>
    <row r="23">
      <c r="A23" s="16" t="s">
        <v>149</v>
      </c>
      <c r="B23" s="27">
        <v>46044.0007044213</v>
      </c>
      <c r="C23" s="23"/>
      <c r="D23" s="17">
        <v>0.0</v>
      </c>
      <c r="E23" s="23"/>
      <c r="F23" s="16"/>
    </row>
    <row r="24">
      <c r="A24" s="16" t="s">
        <v>150</v>
      </c>
      <c r="B24" s="30">
        <v>46044.0007044213</v>
      </c>
      <c r="C24" s="17"/>
      <c r="D24" s="16">
        <v>0.0</v>
      </c>
      <c r="E24" s="16"/>
    </row>
    <row r="25">
      <c r="A25" s="16" t="s">
        <v>151</v>
      </c>
      <c r="B25" s="27">
        <v>46044.0007044213</v>
      </c>
      <c r="C25" s="16"/>
      <c r="D25" s="17">
        <v>0.0</v>
      </c>
      <c r="E25" s="23"/>
      <c r="F25" s="16"/>
    </row>
    <row r="26">
      <c r="A26" s="16" t="s">
        <v>152</v>
      </c>
      <c r="B26" s="27">
        <v>46044.0007044213</v>
      </c>
      <c r="C26" s="16"/>
      <c r="D26" s="17">
        <v>0.0</v>
      </c>
      <c r="E26" s="23"/>
      <c r="F26" s="16"/>
    </row>
    <row r="27">
      <c r="A27" s="16" t="s">
        <v>153</v>
      </c>
      <c r="B27" s="27">
        <v>46044.0007044213</v>
      </c>
      <c r="C27" s="23"/>
      <c r="D27" s="17">
        <v>0.0</v>
      </c>
      <c r="E27" s="23"/>
      <c r="F27" s="16"/>
    </row>
    <row r="28">
      <c r="A28" s="16" t="s">
        <v>154</v>
      </c>
      <c r="B28" s="27">
        <v>46044.0007044213</v>
      </c>
      <c r="C28" s="23"/>
      <c r="D28" s="17">
        <v>0.0</v>
      </c>
      <c r="E28" s="23"/>
      <c r="F28" s="23"/>
    </row>
    <row r="29">
      <c r="A29" s="16" t="s">
        <v>155</v>
      </c>
      <c r="B29" s="27">
        <v>46044.0007044213</v>
      </c>
      <c r="C29" s="23"/>
      <c r="D29" s="17">
        <v>0.0</v>
      </c>
      <c r="E29" s="23"/>
      <c r="F29" s="23"/>
    </row>
    <row r="30">
      <c r="A30" s="16" t="s">
        <v>156</v>
      </c>
      <c r="B30" s="27">
        <v>46044.0007044213</v>
      </c>
      <c r="C30" s="23"/>
      <c r="D30" s="17">
        <v>0.0</v>
      </c>
      <c r="E30" s="23"/>
      <c r="F30" s="23"/>
    </row>
    <row r="31">
      <c r="A31" s="16" t="s">
        <v>157</v>
      </c>
      <c r="B31" s="27">
        <v>46044.0007044213</v>
      </c>
      <c r="C31" s="23"/>
      <c r="D31" s="17">
        <v>0.0</v>
      </c>
      <c r="E31" s="23"/>
      <c r="F31" s="23"/>
    </row>
    <row r="32">
      <c r="A32" s="16" t="s">
        <v>158</v>
      </c>
      <c r="B32" s="27">
        <v>46044.0007044213</v>
      </c>
      <c r="C32" s="23"/>
      <c r="D32" s="17">
        <v>0.0</v>
      </c>
      <c r="E32" s="23"/>
      <c r="F32" s="23"/>
    </row>
    <row r="33">
      <c r="A33" s="16" t="s">
        <v>159</v>
      </c>
      <c r="B33" s="27">
        <v>46044.0007044213</v>
      </c>
      <c r="C33" s="23"/>
      <c r="D33" s="17">
        <v>0.0</v>
      </c>
      <c r="E33" s="23"/>
      <c r="F33" s="23"/>
    </row>
    <row r="34">
      <c r="A34" s="16" t="s">
        <v>160</v>
      </c>
      <c r="B34" s="27">
        <v>46044.0007044213</v>
      </c>
      <c r="C34" s="23"/>
      <c r="D34" s="17">
        <v>0.0</v>
      </c>
      <c r="E34" s="23"/>
      <c r="F34" s="23"/>
    </row>
    <row r="35">
      <c r="A35" s="16" t="s">
        <v>161</v>
      </c>
      <c r="B35" s="27">
        <v>46044.0007044213</v>
      </c>
      <c r="C35" s="23"/>
      <c r="D35" s="17">
        <v>0.0</v>
      </c>
      <c r="E35" s="23"/>
      <c r="F35" s="23"/>
    </row>
    <row r="36">
      <c r="A36" s="16" t="s">
        <v>162</v>
      </c>
      <c r="B36" s="27">
        <v>46044.0007044213</v>
      </c>
      <c r="C36" s="23"/>
      <c r="D36" s="17">
        <v>0.0</v>
      </c>
      <c r="E36" s="23"/>
      <c r="F36" s="23"/>
    </row>
    <row r="37">
      <c r="A37" s="16" t="s">
        <v>163</v>
      </c>
      <c r="B37" s="27">
        <v>46044.0007044213</v>
      </c>
      <c r="C37" s="16"/>
      <c r="D37" s="17">
        <v>0.0</v>
      </c>
      <c r="E37" s="23"/>
      <c r="F37" s="16"/>
    </row>
    <row r="38">
      <c r="A38" s="16" t="s">
        <v>164</v>
      </c>
      <c r="B38" s="30">
        <v>46044.0007044213</v>
      </c>
      <c r="D38" s="17">
        <v>0.0</v>
      </c>
    </row>
    <row r="39">
      <c r="A39" s="16" t="s">
        <v>165</v>
      </c>
      <c r="B39" s="30">
        <v>46044.0007044213</v>
      </c>
      <c r="D39" s="17">
        <v>0.0</v>
      </c>
    </row>
    <row r="40">
      <c r="A40" s="16" t="s">
        <v>166</v>
      </c>
      <c r="B40" s="30">
        <v>46044.0007044213</v>
      </c>
      <c r="D40" s="17">
        <v>0.0</v>
      </c>
    </row>
    <row r="41">
      <c r="A41" s="16" t="s">
        <v>167</v>
      </c>
      <c r="B41" s="30">
        <v>46044.0007044213</v>
      </c>
      <c r="D41" s="17">
        <v>0.0</v>
      </c>
    </row>
    <row r="42">
      <c r="A42" s="16" t="s">
        <v>168</v>
      </c>
      <c r="B42" s="30">
        <v>46044.0007044213</v>
      </c>
      <c r="D42" s="17">
        <v>0.0</v>
      </c>
    </row>
    <row r="43">
      <c r="A43" s="16" t="s">
        <v>169</v>
      </c>
      <c r="B43" s="30">
        <v>46044.0007044213</v>
      </c>
      <c r="D43" s="17">
        <v>0.0</v>
      </c>
    </row>
    <row r="44">
      <c r="A44" s="16" t="s">
        <v>170</v>
      </c>
      <c r="B44" s="30">
        <v>46044.0007044213</v>
      </c>
      <c r="D44" s="17">
        <v>0.0</v>
      </c>
    </row>
    <row r="45">
      <c r="A45" s="16" t="s">
        <v>171</v>
      </c>
      <c r="B45" s="30">
        <v>46044.0007044213</v>
      </c>
      <c r="D45" s="17">
        <v>0.0</v>
      </c>
    </row>
    <row r="46">
      <c r="A46" s="16" t="s">
        <v>172</v>
      </c>
      <c r="B46" s="30">
        <v>46044.0007044213</v>
      </c>
      <c r="D46" s="17">
        <v>0.0</v>
      </c>
    </row>
    <row r="47">
      <c r="A47" s="16" t="s">
        <v>173</v>
      </c>
      <c r="B47" s="30">
        <v>46044.0007044213</v>
      </c>
      <c r="D47" s="17">
        <v>0.0</v>
      </c>
    </row>
    <row r="48">
      <c r="A48" s="16" t="s">
        <v>174</v>
      </c>
      <c r="B48" s="30">
        <v>46044.0007044213</v>
      </c>
      <c r="D48" s="17">
        <v>0.0</v>
      </c>
    </row>
    <row r="49">
      <c r="A49" s="16" t="s">
        <v>175</v>
      </c>
      <c r="B49" s="30">
        <v>46044.0007044213</v>
      </c>
      <c r="D49" s="17">
        <v>0.0</v>
      </c>
    </row>
    <row r="50">
      <c r="A50" s="16" t="s">
        <v>176</v>
      </c>
      <c r="B50" s="30">
        <v>46044.0007044213</v>
      </c>
      <c r="D50" s="17">
        <v>0.0</v>
      </c>
    </row>
    <row r="51">
      <c r="A51" s="16" t="s">
        <v>177</v>
      </c>
      <c r="B51" s="30">
        <v>46044.0007044213</v>
      </c>
      <c r="D51" s="17">
        <v>0.0</v>
      </c>
    </row>
    <row r="52">
      <c r="A52" s="16" t="s">
        <v>178</v>
      </c>
      <c r="B52" s="30">
        <v>46044.0007044213</v>
      </c>
      <c r="D52" s="17">
        <v>0.0</v>
      </c>
    </row>
    <row r="53">
      <c r="A53" s="16" t="s">
        <v>179</v>
      </c>
      <c r="B53" s="30">
        <v>46044.0007044213</v>
      </c>
      <c r="D53" s="17">
        <v>0.0</v>
      </c>
    </row>
    <row r="54">
      <c r="A54" s="16" t="s">
        <v>180</v>
      </c>
      <c r="B54" s="30">
        <v>46044.0007044213</v>
      </c>
      <c r="D54" s="17">
        <v>0.0</v>
      </c>
    </row>
    <row r="55">
      <c r="A55" s="16" t="s">
        <v>181</v>
      </c>
      <c r="B55" s="30">
        <v>46044.0007044213</v>
      </c>
      <c r="D55" s="17">
        <v>0.0</v>
      </c>
    </row>
    <row r="56">
      <c r="A56" s="16" t="s">
        <v>182</v>
      </c>
      <c r="B56" s="30">
        <v>46044.0007044213</v>
      </c>
      <c r="D56" s="17">
        <v>0.0</v>
      </c>
    </row>
    <row r="57">
      <c r="A57" s="16" t="s">
        <v>183</v>
      </c>
      <c r="B57" s="30">
        <v>46044.0007044213</v>
      </c>
      <c r="D57" s="17">
        <v>0.0</v>
      </c>
    </row>
    <row r="58">
      <c r="A58" s="16" t="s">
        <v>184</v>
      </c>
      <c r="B58" s="30">
        <v>46044.0007044213</v>
      </c>
      <c r="D58" s="17">
        <v>0.0</v>
      </c>
    </row>
    <row r="59">
      <c r="A59" s="16" t="s">
        <v>185</v>
      </c>
      <c r="B59" s="30">
        <v>46044.0007044213</v>
      </c>
      <c r="D59" s="17">
        <v>0.0</v>
      </c>
    </row>
    <row r="60">
      <c r="A60" s="16" t="s">
        <v>186</v>
      </c>
      <c r="B60" s="30">
        <v>46044.0007044213</v>
      </c>
      <c r="D60" s="17">
        <v>0.0</v>
      </c>
    </row>
    <row r="61">
      <c r="A61" s="16" t="s">
        <v>187</v>
      </c>
      <c r="B61" s="30">
        <v>46044.0007044213</v>
      </c>
      <c r="D61" s="17">
        <v>0.0</v>
      </c>
    </row>
    <row r="62">
      <c r="A62" s="16" t="s">
        <v>188</v>
      </c>
      <c r="B62" s="30">
        <v>46044.0007044213</v>
      </c>
      <c r="D62" s="17">
        <v>0.0</v>
      </c>
    </row>
    <row r="63">
      <c r="A63" s="16" t="s">
        <v>189</v>
      </c>
      <c r="B63" s="30">
        <v>46044.0007044213</v>
      </c>
      <c r="D63" s="17">
        <v>0.0</v>
      </c>
    </row>
    <row r="64">
      <c r="A64" s="16" t="s">
        <v>190</v>
      </c>
      <c r="B64" s="30">
        <v>46044.0007044213</v>
      </c>
      <c r="D64" s="17">
        <v>0.0</v>
      </c>
    </row>
    <row r="65">
      <c r="A65" s="16" t="s">
        <v>191</v>
      </c>
      <c r="B65" s="30">
        <v>46044.0007044213</v>
      </c>
      <c r="D65" s="17">
        <v>0.0</v>
      </c>
    </row>
    <row r="66">
      <c r="A66" s="16" t="s">
        <v>192</v>
      </c>
      <c r="B66" s="30">
        <v>46044.0007044213</v>
      </c>
      <c r="D66" s="17">
        <v>0.0</v>
      </c>
    </row>
    <row r="67">
      <c r="A67" s="16" t="s">
        <v>193</v>
      </c>
      <c r="B67" s="30">
        <v>46044.0007044213</v>
      </c>
      <c r="D67" s="17">
        <v>0.0</v>
      </c>
    </row>
    <row r="68">
      <c r="A68" s="16" t="s">
        <v>194</v>
      </c>
      <c r="B68" s="30">
        <v>46044.0007044213</v>
      </c>
      <c r="D68" s="17">
        <v>0.0</v>
      </c>
    </row>
    <row r="69">
      <c r="A69" s="16" t="s">
        <v>195</v>
      </c>
      <c r="B69" s="30">
        <v>46044.0007044213</v>
      </c>
      <c r="D69" s="17">
        <v>0.0</v>
      </c>
    </row>
    <row r="70">
      <c r="A70" s="16" t="s">
        <v>196</v>
      </c>
      <c r="B70" s="30">
        <v>46044.0007044213</v>
      </c>
      <c r="D70" s="17">
        <v>0.0</v>
      </c>
    </row>
    <row r="71">
      <c r="A71" s="16" t="s">
        <v>197</v>
      </c>
      <c r="B71" s="30">
        <v>46044.0007044213</v>
      </c>
      <c r="D71" s="17">
        <v>0.0</v>
      </c>
    </row>
    <row r="72">
      <c r="A72" s="16" t="s">
        <v>198</v>
      </c>
      <c r="B72" s="30">
        <v>46044.0007044213</v>
      </c>
      <c r="D72" s="17">
        <v>0.0</v>
      </c>
    </row>
    <row r="73">
      <c r="A73" s="16" t="s">
        <v>199</v>
      </c>
      <c r="B73" s="30">
        <v>46044.0007044213</v>
      </c>
      <c r="D73" s="17">
        <v>0.0</v>
      </c>
    </row>
    <row r="74">
      <c r="A74" s="16" t="s">
        <v>200</v>
      </c>
      <c r="B74" s="30">
        <v>46044.0007044213</v>
      </c>
      <c r="D74" s="17">
        <v>0.0</v>
      </c>
    </row>
    <row r="75">
      <c r="A75" s="16" t="s">
        <v>201</v>
      </c>
      <c r="B75" s="30">
        <v>46044.0007044213</v>
      </c>
      <c r="D75" s="17">
        <v>0.0</v>
      </c>
    </row>
    <row r="76">
      <c r="A76" s="16" t="s">
        <v>202</v>
      </c>
      <c r="B76" s="30">
        <v>46044.0007044213</v>
      </c>
      <c r="D76" s="17">
        <v>0.0</v>
      </c>
    </row>
    <row r="77">
      <c r="A77" s="16" t="s">
        <v>203</v>
      </c>
      <c r="B77" s="30">
        <v>46044.0007044213</v>
      </c>
      <c r="D77" s="17">
        <v>0.0</v>
      </c>
    </row>
    <row r="78">
      <c r="A78" s="16" t="s">
        <v>204</v>
      </c>
      <c r="B78" s="30">
        <v>46044.0007044213</v>
      </c>
      <c r="D78" s="17">
        <v>0.0</v>
      </c>
    </row>
    <row r="79">
      <c r="A79" s="16" t="s">
        <v>205</v>
      </c>
      <c r="B79" s="30">
        <v>46044.0007044213</v>
      </c>
      <c r="D79" s="17">
        <v>0.0</v>
      </c>
    </row>
    <row r="80">
      <c r="A80" s="16" t="s">
        <v>206</v>
      </c>
      <c r="B80" s="30">
        <v>46044.0007044213</v>
      </c>
      <c r="D80" s="17">
        <v>0.0</v>
      </c>
    </row>
    <row r="81">
      <c r="A81" s="16" t="s">
        <v>207</v>
      </c>
      <c r="B81" s="30">
        <v>46044.0007044213</v>
      </c>
      <c r="D81" s="17">
        <v>0.0</v>
      </c>
    </row>
    <row r="82">
      <c r="A82" s="16" t="s">
        <v>208</v>
      </c>
      <c r="B82" s="30">
        <v>46044.0007044213</v>
      </c>
      <c r="D82" s="17">
        <v>0.0</v>
      </c>
    </row>
    <row r="83">
      <c r="A83" s="16" t="s">
        <v>209</v>
      </c>
      <c r="B83" s="30">
        <v>46044.00070443287</v>
      </c>
      <c r="D83" s="17">
        <v>0.0</v>
      </c>
    </row>
    <row r="84">
      <c r="A84" s="16" t="s">
        <v>210</v>
      </c>
      <c r="B84" s="30">
        <v>46044.00070443287</v>
      </c>
      <c r="D84" s="17">
        <v>0.0</v>
      </c>
    </row>
    <row r="85">
      <c r="A85" s="16" t="s">
        <v>211</v>
      </c>
      <c r="B85" s="30">
        <v>46044.00070443287</v>
      </c>
      <c r="D85" s="17">
        <v>0.0</v>
      </c>
    </row>
    <row r="86">
      <c r="A86" s="16" t="s">
        <v>212</v>
      </c>
      <c r="B86" s="30">
        <v>46044.00070443287</v>
      </c>
      <c r="D86" s="17">
        <v>0.0</v>
      </c>
    </row>
    <row r="87">
      <c r="A87" s="16" t="s">
        <v>213</v>
      </c>
      <c r="B87" s="30">
        <v>46044.00070443287</v>
      </c>
      <c r="D87" s="17">
        <v>0.0</v>
      </c>
    </row>
    <row r="88">
      <c r="A88" s="16" t="s">
        <v>214</v>
      </c>
      <c r="B88" s="30">
        <v>46044.00070443287</v>
      </c>
      <c r="D88" s="17">
        <v>0.0</v>
      </c>
    </row>
    <row r="89">
      <c r="A89" s="16" t="s">
        <v>215</v>
      </c>
      <c r="B89" s="30">
        <v>46044.00070443287</v>
      </c>
      <c r="D89" s="17">
        <v>0.0</v>
      </c>
    </row>
    <row r="90">
      <c r="A90" s="16" t="s">
        <v>216</v>
      </c>
      <c r="B90" s="30">
        <v>46044.00070443287</v>
      </c>
      <c r="D90" s="17">
        <v>0.0</v>
      </c>
    </row>
    <row r="91">
      <c r="A91" s="16" t="s">
        <v>217</v>
      </c>
      <c r="B91" s="30">
        <v>46044.00070443287</v>
      </c>
      <c r="D91" s="17">
        <v>0.0</v>
      </c>
    </row>
    <row r="92">
      <c r="A92" s="16" t="s">
        <v>218</v>
      </c>
      <c r="B92" s="30">
        <v>46044.00070443287</v>
      </c>
      <c r="D92" s="17">
        <v>0.0</v>
      </c>
    </row>
    <row r="93">
      <c r="A93" s="16" t="s">
        <v>219</v>
      </c>
      <c r="B93" s="30">
        <v>46044.00070443287</v>
      </c>
      <c r="D93" s="17">
        <v>0.0</v>
      </c>
    </row>
    <row r="94">
      <c r="A94" s="16" t="s">
        <v>220</v>
      </c>
      <c r="B94" s="30">
        <v>46044.00070443287</v>
      </c>
      <c r="D94" s="17">
        <v>0.0</v>
      </c>
    </row>
    <row r="95">
      <c r="A95" s="16" t="s">
        <v>221</v>
      </c>
      <c r="B95" s="30">
        <v>46044.00070443287</v>
      </c>
      <c r="D95" s="17">
        <v>0.0</v>
      </c>
    </row>
    <row r="96">
      <c r="A96" s="16" t="s">
        <v>222</v>
      </c>
      <c r="B96" s="30">
        <v>46044.00070443287</v>
      </c>
      <c r="D96" s="17">
        <v>0.0</v>
      </c>
    </row>
    <row r="97">
      <c r="A97" s="16" t="s">
        <v>223</v>
      </c>
      <c r="B97" s="30">
        <v>46044.00070443287</v>
      </c>
      <c r="D97" s="17">
        <v>0.0</v>
      </c>
    </row>
    <row r="98">
      <c r="A98" s="16" t="s">
        <v>224</v>
      </c>
      <c r="B98" s="30">
        <v>46044.00070443287</v>
      </c>
      <c r="D98" s="17">
        <v>0.0</v>
      </c>
    </row>
    <row r="99">
      <c r="A99" s="16" t="s">
        <v>225</v>
      </c>
      <c r="B99" s="30">
        <v>46044.00070443287</v>
      </c>
      <c r="D99" s="17">
        <v>0.0</v>
      </c>
    </row>
    <row r="100">
      <c r="A100" s="16" t="s">
        <v>226</v>
      </c>
      <c r="B100" s="30">
        <v>46044.00070443287</v>
      </c>
      <c r="D100" s="17">
        <v>0.0</v>
      </c>
    </row>
    <row r="101">
      <c r="A101" s="16" t="s">
        <v>227</v>
      </c>
      <c r="B101" s="30">
        <v>46044.00070443287</v>
      </c>
      <c r="D101" s="17">
        <v>0.0</v>
      </c>
    </row>
    <row r="102">
      <c r="A102" s="16" t="s">
        <v>228</v>
      </c>
      <c r="B102" s="30">
        <v>46044.00070443287</v>
      </c>
      <c r="D102" s="17">
        <v>0.0</v>
      </c>
    </row>
    <row r="103">
      <c r="A103" s="16" t="s">
        <v>229</v>
      </c>
      <c r="B103" s="30">
        <v>46044.00070443287</v>
      </c>
      <c r="D103" s="17">
        <v>0.0</v>
      </c>
    </row>
    <row r="104">
      <c r="A104" s="16" t="s">
        <v>230</v>
      </c>
      <c r="B104" s="30">
        <v>46044.00070443287</v>
      </c>
      <c r="D104" s="17">
        <v>0.0</v>
      </c>
    </row>
    <row r="105">
      <c r="A105" s="16" t="s">
        <v>231</v>
      </c>
      <c r="B105" s="30">
        <v>46044.00070443287</v>
      </c>
      <c r="D105" s="17">
        <v>0.0</v>
      </c>
    </row>
    <row r="106">
      <c r="A106" s="16" t="s">
        <v>232</v>
      </c>
      <c r="B106" s="30">
        <v>46044.00070443287</v>
      </c>
      <c r="D106" s="17">
        <v>0.0</v>
      </c>
    </row>
    <row r="107">
      <c r="A107" s="16" t="s">
        <v>233</v>
      </c>
      <c r="B107" s="30">
        <v>46044.00070443287</v>
      </c>
      <c r="D107" s="17">
        <v>0.0</v>
      </c>
    </row>
    <row r="108">
      <c r="A108" s="16" t="s">
        <v>234</v>
      </c>
      <c r="B108" s="30">
        <v>46044.00070443287</v>
      </c>
      <c r="D108" s="17">
        <v>0.0</v>
      </c>
    </row>
    <row r="109">
      <c r="A109" s="16" t="s">
        <v>235</v>
      </c>
      <c r="B109" s="30">
        <v>46044.00070443287</v>
      </c>
      <c r="D109" s="17">
        <v>0.0</v>
      </c>
    </row>
    <row r="110">
      <c r="A110" s="16" t="s">
        <v>236</v>
      </c>
      <c r="B110" s="30">
        <v>46044.00070443287</v>
      </c>
      <c r="D110" s="17">
        <v>0.0</v>
      </c>
    </row>
    <row r="111">
      <c r="A111" s="16" t="s">
        <v>237</v>
      </c>
      <c r="B111" s="30">
        <v>46044.00070443287</v>
      </c>
      <c r="D111" s="17">
        <v>0.0</v>
      </c>
    </row>
    <row r="112">
      <c r="A112" s="16" t="s">
        <v>238</v>
      </c>
      <c r="B112" s="30">
        <v>46044.00070443287</v>
      </c>
      <c r="D112" s="17">
        <v>0.0</v>
      </c>
    </row>
    <row r="113">
      <c r="A113" s="16" t="s">
        <v>239</v>
      </c>
      <c r="B113" s="30">
        <v>46044.00070443287</v>
      </c>
      <c r="D113" s="17">
        <v>0.0</v>
      </c>
    </row>
    <row r="114">
      <c r="A114" s="16" t="s">
        <v>240</v>
      </c>
      <c r="B114" s="30">
        <v>46044.00070443287</v>
      </c>
      <c r="D114" s="17">
        <v>0.0</v>
      </c>
    </row>
    <row r="115">
      <c r="A115" s="16" t="s">
        <v>241</v>
      </c>
      <c r="B115" s="30">
        <v>46044.00070443287</v>
      </c>
      <c r="D115" s="17">
        <v>0.0</v>
      </c>
    </row>
    <row r="116">
      <c r="A116" s="16" t="s">
        <v>242</v>
      </c>
      <c r="B116" s="30">
        <v>46044.00070443287</v>
      </c>
      <c r="D116" s="17">
        <v>0.0</v>
      </c>
    </row>
    <row r="117">
      <c r="A117" s="16" t="s">
        <v>243</v>
      </c>
      <c r="B117" s="30">
        <v>46044.00070443287</v>
      </c>
      <c r="D117" s="17">
        <v>0.0</v>
      </c>
    </row>
    <row r="118">
      <c r="A118" s="16" t="s">
        <v>244</v>
      </c>
      <c r="B118" s="30">
        <v>46044.00070443287</v>
      </c>
      <c r="D118" s="17">
        <v>0.0</v>
      </c>
    </row>
    <row r="119">
      <c r="A119" s="16" t="s">
        <v>245</v>
      </c>
      <c r="B119" s="30">
        <v>46044.00070443287</v>
      </c>
      <c r="D119" s="17">
        <v>0.0</v>
      </c>
    </row>
    <row r="120">
      <c r="A120" s="16" t="s">
        <v>246</v>
      </c>
      <c r="B120" s="30">
        <v>46044.00070443287</v>
      </c>
      <c r="D120" s="17">
        <v>0.0</v>
      </c>
    </row>
    <row r="121">
      <c r="A121" s="16" t="s">
        <v>247</v>
      </c>
      <c r="B121" s="30">
        <v>46044.00070443287</v>
      </c>
      <c r="D121" s="17">
        <v>0.0</v>
      </c>
    </row>
    <row r="122">
      <c r="A122" s="16" t="s">
        <v>248</v>
      </c>
      <c r="B122" s="30">
        <v>46044.00070443287</v>
      </c>
      <c r="D122" s="17">
        <v>0.0</v>
      </c>
    </row>
    <row r="123">
      <c r="A123" s="16" t="s">
        <v>249</v>
      </c>
      <c r="B123" s="30">
        <v>46044.00070443287</v>
      </c>
      <c r="D123" s="17">
        <v>0.0</v>
      </c>
    </row>
    <row r="124">
      <c r="A124" s="16" t="s">
        <v>250</v>
      </c>
      <c r="B124" s="30">
        <v>46044.00070443287</v>
      </c>
      <c r="D124" s="17">
        <v>0.0</v>
      </c>
    </row>
    <row r="125">
      <c r="A125" s="16" t="s">
        <v>251</v>
      </c>
      <c r="B125" s="30">
        <v>46044.00070443287</v>
      </c>
      <c r="D125" s="17">
        <v>0.0</v>
      </c>
    </row>
    <row r="126">
      <c r="A126" s="16" t="s">
        <v>252</v>
      </c>
      <c r="B126" s="30">
        <v>46044.00070443287</v>
      </c>
      <c r="D126" s="17">
        <v>0.0</v>
      </c>
    </row>
    <row r="127">
      <c r="A127" s="16" t="s">
        <v>253</v>
      </c>
      <c r="B127" s="30">
        <v>46044.00070443287</v>
      </c>
      <c r="D127" s="17">
        <v>0.0</v>
      </c>
    </row>
    <row r="128">
      <c r="A128" s="16" t="s">
        <v>254</v>
      </c>
      <c r="B128" s="30">
        <v>46044.00070443287</v>
      </c>
      <c r="D128" s="17">
        <v>0.0</v>
      </c>
    </row>
    <row r="129">
      <c r="A129" s="16" t="s">
        <v>255</v>
      </c>
      <c r="B129" s="30">
        <v>46044.00070443287</v>
      </c>
      <c r="D129" s="17">
        <v>0.0</v>
      </c>
    </row>
    <row r="130">
      <c r="A130" s="16" t="s">
        <v>256</v>
      </c>
      <c r="B130" s="30">
        <v>46044.00070443287</v>
      </c>
      <c r="D130" s="17">
        <v>0.0</v>
      </c>
    </row>
    <row r="131">
      <c r="A131" s="16" t="s">
        <v>257</v>
      </c>
      <c r="B131" s="30">
        <v>46044.00070443287</v>
      </c>
      <c r="D131" s="17">
        <v>0.0</v>
      </c>
    </row>
    <row r="132">
      <c r="A132" s="16" t="s">
        <v>258</v>
      </c>
      <c r="B132" s="30">
        <v>46044.00070443287</v>
      </c>
      <c r="D132" s="17">
        <v>0.0</v>
      </c>
    </row>
    <row r="133">
      <c r="A133" s="16" t="s">
        <v>259</v>
      </c>
      <c r="B133" s="30">
        <v>46044.00070443287</v>
      </c>
      <c r="D133" s="17">
        <v>0.0</v>
      </c>
    </row>
    <row r="134">
      <c r="A134" s="16" t="s">
        <v>260</v>
      </c>
      <c r="B134" s="30">
        <v>46044.00070443287</v>
      </c>
      <c r="D134" s="17">
        <v>0.0</v>
      </c>
    </row>
    <row r="135">
      <c r="A135" s="16" t="s">
        <v>261</v>
      </c>
      <c r="B135" s="30">
        <v>46044.00070443287</v>
      </c>
      <c r="D135" s="17">
        <v>0.0</v>
      </c>
    </row>
    <row r="136">
      <c r="A136" s="16" t="s">
        <v>262</v>
      </c>
      <c r="B136" s="30">
        <v>46044.00070443287</v>
      </c>
      <c r="D136" s="17">
        <v>0.0</v>
      </c>
    </row>
    <row r="137">
      <c r="A137" s="16" t="s">
        <v>263</v>
      </c>
      <c r="B137" s="30">
        <v>46044.00070443287</v>
      </c>
      <c r="D137" s="17">
        <v>0.0</v>
      </c>
    </row>
    <row r="138">
      <c r="A138" s="16" t="s">
        <v>264</v>
      </c>
      <c r="B138" s="30">
        <v>46044.00070443287</v>
      </c>
      <c r="D138" s="17">
        <v>0.0</v>
      </c>
    </row>
    <row r="139">
      <c r="A139" s="16" t="s">
        <v>265</v>
      </c>
      <c r="B139" s="30">
        <v>46044.00070443287</v>
      </c>
      <c r="D139" s="17">
        <v>0.0</v>
      </c>
    </row>
    <row r="140">
      <c r="A140" s="16" t="s">
        <v>266</v>
      </c>
      <c r="B140" s="30">
        <v>46044.00070443287</v>
      </c>
      <c r="D140" s="17">
        <v>0.0</v>
      </c>
    </row>
    <row r="141">
      <c r="A141" s="16" t="s">
        <v>267</v>
      </c>
      <c r="B141" s="30">
        <v>46044.00070443287</v>
      </c>
      <c r="D141" s="17">
        <v>0.0</v>
      </c>
    </row>
    <row r="142">
      <c r="A142" s="16" t="s">
        <v>268</v>
      </c>
      <c r="B142" s="30">
        <v>46044.00070443287</v>
      </c>
      <c r="D142" s="17">
        <v>0.0</v>
      </c>
    </row>
    <row r="143">
      <c r="A143" s="16" t="s">
        <v>269</v>
      </c>
      <c r="B143" s="30">
        <v>46044.00070443287</v>
      </c>
      <c r="D143" s="17">
        <v>0.0</v>
      </c>
    </row>
    <row r="144">
      <c r="A144" s="16" t="s">
        <v>270</v>
      </c>
      <c r="B144" s="30">
        <v>46044.00070443287</v>
      </c>
      <c r="D144" s="17">
        <v>0.0</v>
      </c>
    </row>
    <row r="145">
      <c r="A145" s="16" t="s">
        <v>271</v>
      </c>
      <c r="B145" s="30">
        <v>46044.00070443287</v>
      </c>
      <c r="D145" s="17">
        <v>0.0</v>
      </c>
    </row>
    <row r="146">
      <c r="A146" s="16" t="s">
        <v>272</v>
      </c>
      <c r="B146" s="30">
        <v>46044.00070443287</v>
      </c>
      <c r="D146" s="17">
        <v>0.0</v>
      </c>
    </row>
    <row r="147">
      <c r="A147" s="16" t="s">
        <v>273</v>
      </c>
      <c r="B147" s="30">
        <v>46044.00070443287</v>
      </c>
      <c r="D147" s="17">
        <v>0.0</v>
      </c>
    </row>
    <row r="148">
      <c r="A148" s="16" t="s">
        <v>274</v>
      </c>
      <c r="B148" s="30">
        <v>46044.00070443287</v>
      </c>
      <c r="D148" s="17">
        <v>0.0</v>
      </c>
    </row>
    <row r="149">
      <c r="A149" s="16" t="s">
        <v>275</v>
      </c>
      <c r="B149" s="30">
        <v>46044.00070443287</v>
      </c>
      <c r="D149" s="17">
        <v>0.0</v>
      </c>
    </row>
    <row r="150">
      <c r="A150" s="16" t="s">
        <v>276</v>
      </c>
      <c r="B150" s="30">
        <v>46044.00070443287</v>
      </c>
      <c r="D150" s="17">
        <v>0.0</v>
      </c>
    </row>
    <row r="151">
      <c r="A151" s="16" t="s">
        <v>277</v>
      </c>
      <c r="B151" s="30">
        <v>46044.00070443287</v>
      </c>
      <c r="D151" s="17">
        <v>0.0</v>
      </c>
    </row>
    <row r="152">
      <c r="A152" s="16" t="s">
        <v>278</v>
      </c>
      <c r="B152" s="30">
        <v>46044.00070443287</v>
      </c>
      <c r="D152" s="17">
        <v>0.0</v>
      </c>
    </row>
    <row r="153">
      <c r="A153" s="16" t="s">
        <v>279</v>
      </c>
      <c r="B153" s="30">
        <v>46044.00070443287</v>
      </c>
      <c r="D153" s="17">
        <v>0.0</v>
      </c>
    </row>
    <row r="154">
      <c r="A154" s="16" t="s">
        <v>280</v>
      </c>
      <c r="B154" s="30">
        <v>46044.00070443287</v>
      </c>
      <c r="D154" s="17">
        <v>0.0</v>
      </c>
    </row>
    <row r="155">
      <c r="A155" s="16" t="s">
        <v>281</v>
      </c>
      <c r="B155" s="30">
        <v>46044.00070443287</v>
      </c>
      <c r="D155" s="17">
        <v>0.0</v>
      </c>
    </row>
    <row r="156">
      <c r="A156" s="16" t="s">
        <v>282</v>
      </c>
      <c r="B156" s="30">
        <v>46044.00070443287</v>
      </c>
      <c r="D156" s="17">
        <v>0.0</v>
      </c>
    </row>
    <row r="157">
      <c r="A157" s="16" t="s">
        <v>283</v>
      </c>
      <c r="B157" s="30">
        <v>46044.00070443287</v>
      </c>
      <c r="D157" s="17">
        <v>0.0</v>
      </c>
    </row>
    <row r="158">
      <c r="A158" s="16" t="s">
        <v>284</v>
      </c>
      <c r="B158" s="30">
        <v>46044.00070443287</v>
      </c>
      <c r="D158" s="17">
        <v>0.0</v>
      </c>
    </row>
    <row r="159">
      <c r="A159" s="16" t="s">
        <v>285</v>
      </c>
      <c r="B159" s="30">
        <v>46044.00070443287</v>
      </c>
      <c r="D159" s="17">
        <v>0.0</v>
      </c>
    </row>
    <row r="160">
      <c r="A160" s="16" t="s">
        <v>286</v>
      </c>
      <c r="B160" s="30">
        <v>46044.00070443287</v>
      </c>
      <c r="D160" s="17">
        <v>0.0</v>
      </c>
    </row>
    <row r="161">
      <c r="A161" s="16" t="s">
        <v>287</v>
      </c>
      <c r="B161" s="30">
        <v>46044.00070443287</v>
      </c>
      <c r="D161" s="17">
        <v>0.0</v>
      </c>
    </row>
    <row r="162">
      <c r="A162" s="16" t="s">
        <v>288</v>
      </c>
      <c r="B162" s="30">
        <v>46044.00070443287</v>
      </c>
      <c r="D162" s="17">
        <v>0.0</v>
      </c>
    </row>
    <row r="163">
      <c r="A163" s="16" t="s">
        <v>289</v>
      </c>
      <c r="B163" s="30">
        <v>46044.00070443287</v>
      </c>
      <c r="D163" s="17">
        <v>0.0</v>
      </c>
    </row>
    <row r="164">
      <c r="A164" s="16" t="s">
        <v>290</v>
      </c>
      <c r="B164" s="30">
        <v>46044.00070443287</v>
      </c>
      <c r="D164" s="17">
        <v>0.0</v>
      </c>
    </row>
    <row r="165">
      <c r="A165" s="16" t="s">
        <v>291</v>
      </c>
      <c r="B165" s="30">
        <v>46044.00070443287</v>
      </c>
      <c r="D165" s="17">
        <v>0.0</v>
      </c>
    </row>
    <row r="166">
      <c r="A166" s="16" t="s">
        <v>292</v>
      </c>
      <c r="B166" s="30">
        <v>46044.00070443287</v>
      </c>
      <c r="D166" s="17">
        <v>0.0</v>
      </c>
    </row>
    <row r="167">
      <c r="A167" s="16" t="s">
        <v>293</v>
      </c>
      <c r="B167" s="30">
        <v>46044.00070443287</v>
      </c>
      <c r="D167" s="17">
        <v>0.0</v>
      </c>
    </row>
    <row r="168">
      <c r="A168" s="16" t="s">
        <v>294</v>
      </c>
      <c r="B168" s="30">
        <v>46044.00070443287</v>
      </c>
      <c r="D168" s="17">
        <v>0.0</v>
      </c>
    </row>
    <row r="169">
      <c r="A169" s="16" t="s">
        <v>295</v>
      </c>
      <c r="B169" s="30">
        <v>46044.00070443287</v>
      </c>
      <c r="D169" s="17">
        <v>0.0</v>
      </c>
    </row>
    <row r="170">
      <c r="A170" s="16" t="s">
        <v>296</v>
      </c>
      <c r="B170" s="30">
        <v>46044.00070443287</v>
      </c>
      <c r="D170" s="17">
        <v>0.0</v>
      </c>
    </row>
    <row r="171">
      <c r="A171" s="16" t="s">
        <v>297</v>
      </c>
      <c r="B171" s="30">
        <v>46044.00070443287</v>
      </c>
      <c r="D171" s="17">
        <v>0.0</v>
      </c>
    </row>
    <row r="172">
      <c r="A172" s="16" t="s">
        <v>298</v>
      </c>
      <c r="B172" s="30">
        <v>46044.00070443287</v>
      </c>
      <c r="D172" s="17">
        <v>0.0</v>
      </c>
    </row>
    <row r="173">
      <c r="A173" s="16" t="s">
        <v>299</v>
      </c>
      <c r="B173" s="30">
        <v>46044.00070443287</v>
      </c>
      <c r="D173" s="17">
        <v>0.0</v>
      </c>
    </row>
    <row r="174">
      <c r="A174" s="16" t="s">
        <v>300</v>
      </c>
      <c r="B174" s="30">
        <v>46044.00070443287</v>
      </c>
      <c r="D174" s="17">
        <v>0.0</v>
      </c>
    </row>
    <row r="175">
      <c r="A175" s="16" t="s">
        <v>301</v>
      </c>
      <c r="B175" s="30">
        <v>46044.00070443287</v>
      </c>
      <c r="D175" s="17">
        <v>0.0</v>
      </c>
    </row>
    <row r="176">
      <c r="A176" s="16" t="s">
        <v>302</v>
      </c>
      <c r="B176" s="30">
        <v>46044.00070443287</v>
      </c>
      <c r="D176" s="17">
        <v>0.0</v>
      </c>
    </row>
    <row r="177">
      <c r="A177" s="16" t="s">
        <v>303</v>
      </c>
      <c r="B177" s="30">
        <v>46044.00070443287</v>
      </c>
      <c r="D177" s="17">
        <v>0.0</v>
      </c>
    </row>
    <row r="178">
      <c r="A178" s="16" t="s">
        <v>304</v>
      </c>
      <c r="B178" s="30">
        <v>46044.00070443287</v>
      </c>
      <c r="D178" s="17">
        <v>0.0</v>
      </c>
    </row>
    <row r="179">
      <c r="A179" s="16" t="s">
        <v>305</v>
      </c>
      <c r="B179" s="30">
        <v>46044.00070443287</v>
      </c>
      <c r="D179" s="17">
        <v>0.0</v>
      </c>
    </row>
    <row r="180">
      <c r="A180" s="16" t="s">
        <v>306</v>
      </c>
      <c r="B180" s="30">
        <v>46044.00070443287</v>
      </c>
      <c r="D180" s="17">
        <v>0.0</v>
      </c>
    </row>
    <row r="181">
      <c r="A181" s="16" t="s">
        <v>307</v>
      </c>
      <c r="B181" s="30">
        <v>46044.00070443287</v>
      </c>
      <c r="D181" s="17">
        <v>0.0</v>
      </c>
    </row>
    <row r="182">
      <c r="A182" s="16" t="s">
        <v>308</v>
      </c>
      <c r="B182" s="30">
        <v>46044.00070443287</v>
      </c>
      <c r="D182" s="17">
        <v>0.0</v>
      </c>
    </row>
    <row r="183">
      <c r="A183" s="16" t="s">
        <v>309</v>
      </c>
      <c r="B183" s="30">
        <v>46044.00070443287</v>
      </c>
      <c r="D183" s="17">
        <v>0.0</v>
      </c>
    </row>
    <row r="184">
      <c r="A184" s="16" t="s">
        <v>310</v>
      </c>
      <c r="B184" s="30">
        <v>46044.00070443287</v>
      </c>
      <c r="D184" s="17">
        <v>0.0</v>
      </c>
    </row>
    <row r="185">
      <c r="A185" s="16" t="s">
        <v>311</v>
      </c>
      <c r="B185" s="30">
        <v>46044.00070443287</v>
      </c>
      <c r="D185" s="17">
        <v>0.0</v>
      </c>
    </row>
    <row r="186">
      <c r="A186" s="16" t="s">
        <v>312</v>
      </c>
      <c r="B186" s="30">
        <v>46044.00070443287</v>
      </c>
      <c r="D186" s="17">
        <v>0.0</v>
      </c>
    </row>
    <row r="187">
      <c r="A187" s="16" t="s">
        <v>313</v>
      </c>
      <c r="B187" s="30">
        <v>46044.00070443287</v>
      </c>
      <c r="D187" s="17">
        <v>0.0</v>
      </c>
    </row>
    <row r="188">
      <c r="A188" s="16" t="s">
        <v>314</v>
      </c>
      <c r="B188" s="30">
        <v>46044.00070443287</v>
      </c>
      <c r="D188" s="17">
        <v>0.0</v>
      </c>
    </row>
    <row r="189">
      <c r="A189" s="16" t="s">
        <v>315</v>
      </c>
      <c r="B189" s="30">
        <v>46044.00070443287</v>
      </c>
      <c r="D189" s="17">
        <v>0.0</v>
      </c>
    </row>
    <row r="190">
      <c r="A190" s="16" t="s">
        <v>316</v>
      </c>
      <c r="B190" s="30">
        <v>46044.00070443287</v>
      </c>
      <c r="D190" s="17">
        <v>0.0</v>
      </c>
    </row>
    <row r="191">
      <c r="A191" s="16" t="s">
        <v>317</v>
      </c>
      <c r="B191" s="30">
        <v>46044.00070443287</v>
      </c>
      <c r="D191" s="17">
        <v>0.0</v>
      </c>
    </row>
    <row r="192">
      <c r="A192" s="16" t="s">
        <v>318</v>
      </c>
      <c r="B192" s="30">
        <v>46044.00070443287</v>
      </c>
      <c r="D192" s="17">
        <v>0.0</v>
      </c>
    </row>
    <row r="193">
      <c r="A193" s="16" t="s">
        <v>319</v>
      </c>
      <c r="B193" s="30">
        <v>46044.00070443287</v>
      </c>
      <c r="D193" s="17">
        <v>0.0</v>
      </c>
    </row>
    <row r="194">
      <c r="A194" s="16" t="s">
        <v>320</v>
      </c>
      <c r="B194" s="30">
        <v>46044.00070443287</v>
      </c>
      <c r="D194" s="17">
        <v>0.0</v>
      </c>
    </row>
    <row r="195">
      <c r="A195" s="16" t="s">
        <v>321</v>
      </c>
      <c r="B195" s="30">
        <v>46044.00070443287</v>
      </c>
      <c r="D195" s="17">
        <v>0.0</v>
      </c>
    </row>
    <row r="196">
      <c r="A196" s="16" t="s">
        <v>322</v>
      </c>
      <c r="B196" s="30">
        <v>46044.00070443287</v>
      </c>
      <c r="D196" s="17">
        <v>0.0</v>
      </c>
    </row>
    <row r="197">
      <c r="A197" s="16" t="s">
        <v>323</v>
      </c>
      <c r="B197" s="30">
        <v>46044.00070443287</v>
      </c>
      <c r="D197" s="17">
        <v>0.0</v>
      </c>
    </row>
    <row r="198">
      <c r="A198" s="16" t="s">
        <v>324</v>
      </c>
      <c r="B198" s="30">
        <v>46044.00070443287</v>
      </c>
      <c r="D198" s="17">
        <v>0.0</v>
      </c>
    </row>
    <row r="199">
      <c r="A199" s="16" t="s">
        <v>325</v>
      </c>
      <c r="B199" s="30">
        <v>46044.00070443287</v>
      </c>
      <c r="D199" s="17">
        <v>0.0</v>
      </c>
    </row>
    <row r="200">
      <c r="A200" s="16" t="s">
        <v>326</v>
      </c>
      <c r="B200" s="30">
        <v>46044.00070443287</v>
      </c>
      <c r="D200" s="17">
        <v>0.0</v>
      </c>
    </row>
    <row r="201">
      <c r="A201" s="16" t="s">
        <v>327</v>
      </c>
      <c r="B201" s="30">
        <v>46044.00070443287</v>
      </c>
      <c r="D201" s="17">
        <v>0.0</v>
      </c>
    </row>
    <row r="202">
      <c r="A202" s="16" t="s">
        <v>328</v>
      </c>
      <c r="B202" s="30">
        <v>46044.00070443287</v>
      </c>
      <c r="D202" s="17">
        <v>0.0</v>
      </c>
    </row>
    <row r="203">
      <c r="A203" s="16" t="s">
        <v>329</v>
      </c>
      <c r="B203" s="30">
        <v>46044.00070443287</v>
      </c>
      <c r="D203" s="17">
        <v>0.0</v>
      </c>
    </row>
    <row r="204">
      <c r="A204" s="16" t="s">
        <v>330</v>
      </c>
      <c r="B204" s="30">
        <v>46044.00070443287</v>
      </c>
      <c r="D204" s="17">
        <v>0.0</v>
      </c>
    </row>
    <row r="205">
      <c r="A205" s="16" t="s">
        <v>331</v>
      </c>
      <c r="B205" s="30">
        <v>46044.00070443287</v>
      </c>
      <c r="D205" s="17">
        <v>0.0</v>
      </c>
    </row>
    <row r="206">
      <c r="A206" s="16" t="s">
        <v>332</v>
      </c>
      <c r="B206" s="30">
        <v>46044.00070443287</v>
      </c>
      <c r="D206" s="17">
        <v>0.0</v>
      </c>
    </row>
    <row r="207">
      <c r="A207" s="16" t="s">
        <v>333</v>
      </c>
      <c r="B207" s="30">
        <v>46044.00070443287</v>
      </c>
      <c r="D207" s="17">
        <v>0.0</v>
      </c>
    </row>
    <row r="208">
      <c r="A208" s="16" t="s">
        <v>334</v>
      </c>
      <c r="B208" s="30">
        <v>46044.00070443287</v>
      </c>
      <c r="D208" s="17">
        <v>0.0</v>
      </c>
    </row>
    <row r="209">
      <c r="A209" s="16" t="s">
        <v>335</v>
      </c>
      <c r="B209" s="30">
        <v>46044.00070443287</v>
      </c>
      <c r="D209" s="17">
        <v>0.0</v>
      </c>
    </row>
    <row r="210">
      <c r="A210" s="16" t="s">
        <v>336</v>
      </c>
      <c r="B210" s="30">
        <v>46044.00070443287</v>
      </c>
      <c r="D210" s="17">
        <v>0.0</v>
      </c>
    </row>
    <row r="211">
      <c r="A211" s="16" t="s">
        <v>337</v>
      </c>
      <c r="B211" s="30">
        <v>46044.00070443287</v>
      </c>
      <c r="D211" s="17">
        <v>0.0</v>
      </c>
    </row>
    <row r="212">
      <c r="A212" s="16" t="s">
        <v>338</v>
      </c>
      <c r="B212" s="30">
        <v>46044.00070443287</v>
      </c>
      <c r="D212" s="17">
        <v>0.0</v>
      </c>
    </row>
    <row r="213">
      <c r="A213" s="16" t="s">
        <v>339</v>
      </c>
      <c r="B213" s="30">
        <v>46044.00070443287</v>
      </c>
      <c r="D213" s="17">
        <v>0.0</v>
      </c>
    </row>
    <row r="214">
      <c r="A214" s="16" t="s">
        <v>340</v>
      </c>
      <c r="B214" s="30">
        <v>46044.00070443287</v>
      </c>
      <c r="D214" s="17">
        <v>0.0</v>
      </c>
    </row>
    <row r="215">
      <c r="A215" s="16" t="s">
        <v>341</v>
      </c>
      <c r="B215" s="30">
        <v>46044.00070443287</v>
      </c>
      <c r="D215" s="17">
        <v>0.0</v>
      </c>
    </row>
    <row r="216">
      <c r="A216" s="16" t="s">
        <v>342</v>
      </c>
      <c r="B216" s="30">
        <v>46044.00070443287</v>
      </c>
      <c r="D216" s="17">
        <v>0.0</v>
      </c>
    </row>
    <row r="217">
      <c r="A217" s="16" t="s">
        <v>343</v>
      </c>
      <c r="B217" s="30">
        <v>46044.00070443287</v>
      </c>
      <c r="D217" s="17">
        <v>0.0</v>
      </c>
    </row>
    <row r="218">
      <c r="A218" s="16" t="s">
        <v>344</v>
      </c>
      <c r="B218" s="30">
        <v>46044.00070443287</v>
      </c>
      <c r="D218" s="17">
        <v>0.0</v>
      </c>
    </row>
    <row r="219">
      <c r="A219" s="16" t="s">
        <v>345</v>
      </c>
      <c r="B219" s="30">
        <v>46044.00070443287</v>
      </c>
      <c r="D219" s="17">
        <v>0.0</v>
      </c>
    </row>
    <row r="220">
      <c r="A220" s="16" t="s">
        <v>346</v>
      </c>
      <c r="B220" s="30">
        <v>46044.00070443287</v>
      </c>
      <c r="D220" s="17">
        <v>0.0</v>
      </c>
    </row>
    <row r="221">
      <c r="A221" s="16" t="s">
        <v>347</v>
      </c>
      <c r="B221" s="30">
        <v>46044.00070443287</v>
      </c>
      <c r="D221" s="17">
        <v>0.0</v>
      </c>
    </row>
    <row r="222">
      <c r="A222" s="16" t="s">
        <v>348</v>
      </c>
      <c r="B222" s="30">
        <v>46044.00070443287</v>
      </c>
      <c r="D222" s="17">
        <v>0.0</v>
      </c>
    </row>
    <row r="223">
      <c r="A223" s="16" t="s">
        <v>349</v>
      </c>
      <c r="B223" s="30">
        <v>46044.00070443287</v>
      </c>
      <c r="D223" s="17">
        <v>0.0</v>
      </c>
    </row>
    <row r="224">
      <c r="A224" s="16" t="s">
        <v>350</v>
      </c>
      <c r="B224" s="30">
        <v>46044.00070443287</v>
      </c>
      <c r="D224" s="17">
        <v>0.0</v>
      </c>
    </row>
    <row r="225">
      <c r="A225" s="16" t="s">
        <v>351</v>
      </c>
      <c r="B225" s="30">
        <v>46044.00070443287</v>
      </c>
      <c r="D225" s="17">
        <v>0.0</v>
      </c>
    </row>
    <row r="226">
      <c r="A226" s="16" t="s">
        <v>352</v>
      </c>
      <c r="B226" s="30">
        <v>46044.00070443287</v>
      </c>
      <c r="D226" s="17">
        <v>0.0</v>
      </c>
    </row>
    <row r="227">
      <c r="A227" s="16" t="s">
        <v>353</v>
      </c>
      <c r="B227" s="30">
        <v>46044.00070443287</v>
      </c>
      <c r="D227" s="17">
        <v>0.0</v>
      </c>
    </row>
    <row r="228">
      <c r="A228" s="16" t="s">
        <v>354</v>
      </c>
      <c r="B228" s="30">
        <v>46044.00070443287</v>
      </c>
      <c r="D228" s="17">
        <v>0.0</v>
      </c>
    </row>
    <row r="229">
      <c r="A229" s="16" t="s">
        <v>355</v>
      </c>
      <c r="B229" s="30">
        <v>46044.00070443287</v>
      </c>
      <c r="D229" s="17">
        <v>0.0</v>
      </c>
    </row>
    <row r="230">
      <c r="A230" s="16" t="s">
        <v>356</v>
      </c>
      <c r="B230" s="30">
        <v>46044.00070443287</v>
      </c>
      <c r="D230" s="17">
        <v>0.0</v>
      </c>
    </row>
    <row r="231">
      <c r="A231" s="16" t="s">
        <v>357</v>
      </c>
      <c r="B231" s="30">
        <v>46044.00070443287</v>
      </c>
      <c r="D231" s="17">
        <v>0.0</v>
      </c>
    </row>
    <row r="232">
      <c r="A232" s="16" t="s">
        <v>358</v>
      </c>
      <c r="B232" s="30">
        <v>46044.00070443287</v>
      </c>
      <c r="D232" s="17">
        <v>0.0</v>
      </c>
    </row>
    <row r="233">
      <c r="A233" s="16" t="s">
        <v>359</v>
      </c>
      <c r="B233" s="30">
        <v>46044.00070443287</v>
      </c>
      <c r="D233" s="17">
        <v>0.0</v>
      </c>
    </row>
    <row r="234">
      <c r="A234" s="16" t="s">
        <v>360</v>
      </c>
      <c r="B234" s="30">
        <v>46044.00070443287</v>
      </c>
      <c r="D234" s="17">
        <v>0.0</v>
      </c>
    </row>
    <row r="235">
      <c r="A235" s="16" t="s">
        <v>361</v>
      </c>
      <c r="B235" s="30">
        <v>46044.00070443287</v>
      </c>
      <c r="D235" s="17">
        <v>0.0</v>
      </c>
    </row>
    <row r="236">
      <c r="A236" s="16" t="s">
        <v>362</v>
      </c>
      <c r="B236" s="30">
        <v>46044.00070443287</v>
      </c>
      <c r="D236" s="17">
        <v>0.0</v>
      </c>
    </row>
    <row r="237">
      <c r="A237" s="16" t="s">
        <v>363</v>
      </c>
      <c r="B237" s="30">
        <v>46044.00070443287</v>
      </c>
      <c r="D237" s="17">
        <v>0.0</v>
      </c>
    </row>
    <row r="238">
      <c r="A238" s="16" t="s">
        <v>364</v>
      </c>
      <c r="B238" s="30">
        <v>46044.00070443287</v>
      </c>
      <c r="D238" s="17">
        <v>0.0</v>
      </c>
    </row>
    <row r="239">
      <c r="A239" s="16" t="s">
        <v>365</v>
      </c>
      <c r="B239" s="30">
        <v>46044.00070443287</v>
      </c>
      <c r="D239" s="17">
        <v>0.0</v>
      </c>
    </row>
    <row r="240">
      <c r="A240" s="16" t="s">
        <v>366</v>
      </c>
      <c r="B240" s="30">
        <v>46044.00070443287</v>
      </c>
      <c r="D240" s="17">
        <v>0.0</v>
      </c>
    </row>
    <row r="241">
      <c r="A241" s="16" t="s">
        <v>367</v>
      </c>
      <c r="B241" s="30">
        <v>46044.00070444444</v>
      </c>
      <c r="D241" s="17">
        <v>0.0</v>
      </c>
    </row>
    <row r="242">
      <c r="A242" s="16" t="s">
        <v>368</v>
      </c>
      <c r="B242" s="30">
        <v>46044.00070444444</v>
      </c>
      <c r="D242" s="17">
        <v>0.0</v>
      </c>
    </row>
    <row r="243">
      <c r="A243" s="16" t="s">
        <v>369</v>
      </c>
      <c r="B243" s="30">
        <v>46044.00070444444</v>
      </c>
      <c r="D243" s="17">
        <v>0.0</v>
      </c>
    </row>
    <row r="244">
      <c r="A244" s="16" t="s">
        <v>370</v>
      </c>
      <c r="B244" s="30">
        <v>46044.00070444444</v>
      </c>
      <c r="D244" s="17">
        <v>0.0</v>
      </c>
    </row>
    <row r="245">
      <c r="A245" s="16" t="s">
        <v>371</v>
      </c>
      <c r="B245" s="30">
        <v>46044.00070444444</v>
      </c>
      <c r="D245" s="17">
        <v>0.0</v>
      </c>
    </row>
    <row r="246">
      <c r="A246" s="16" t="s">
        <v>372</v>
      </c>
      <c r="B246" s="30">
        <v>46044.00070444444</v>
      </c>
      <c r="D246" s="17">
        <v>0.0</v>
      </c>
    </row>
    <row r="247">
      <c r="A247" s="16" t="s">
        <v>373</v>
      </c>
      <c r="B247" s="30">
        <v>46044.00070444444</v>
      </c>
      <c r="D247" s="17">
        <v>0.0</v>
      </c>
    </row>
    <row r="248">
      <c r="A248" s="16" t="s">
        <v>374</v>
      </c>
      <c r="B248" s="30">
        <v>46044.00070444444</v>
      </c>
      <c r="D248" s="17">
        <v>0.0</v>
      </c>
    </row>
    <row r="249">
      <c r="A249" s="16" t="s">
        <v>375</v>
      </c>
      <c r="B249" s="30">
        <v>46044.00070444444</v>
      </c>
      <c r="D249" s="17">
        <v>0.0</v>
      </c>
    </row>
    <row r="250">
      <c r="A250" s="16" t="s">
        <v>376</v>
      </c>
      <c r="B250" s="30">
        <v>46044.00070444444</v>
      </c>
      <c r="D250" s="17">
        <v>0.0</v>
      </c>
    </row>
    <row r="251">
      <c r="A251" s="16" t="s">
        <v>377</v>
      </c>
      <c r="B251" s="30">
        <v>46044.00070444444</v>
      </c>
      <c r="D251" s="17">
        <v>0.0</v>
      </c>
    </row>
    <row r="252">
      <c r="A252" s="16" t="s">
        <v>378</v>
      </c>
      <c r="B252" s="30">
        <v>46044.00070444444</v>
      </c>
      <c r="D252" s="17">
        <v>0.0</v>
      </c>
    </row>
    <row r="253">
      <c r="A253" s="16" t="s">
        <v>379</v>
      </c>
      <c r="B253" s="30">
        <v>46044.00070444444</v>
      </c>
      <c r="D253" s="17">
        <v>0.0</v>
      </c>
    </row>
    <row r="254">
      <c r="A254" s="16" t="s">
        <v>380</v>
      </c>
      <c r="B254" s="30">
        <v>46044.00070444444</v>
      </c>
      <c r="D254" s="17">
        <v>0.0</v>
      </c>
    </row>
    <row r="255">
      <c r="A255" s="16" t="s">
        <v>381</v>
      </c>
      <c r="B255" s="30">
        <v>46044.00070444444</v>
      </c>
      <c r="D255" s="17">
        <v>0.0</v>
      </c>
    </row>
    <row r="256">
      <c r="A256" s="16" t="s">
        <v>382</v>
      </c>
      <c r="B256" s="30">
        <v>46044.00070444444</v>
      </c>
      <c r="D256" s="17">
        <v>0.0</v>
      </c>
    </row>
    <row r="257">
      <c r="A257" s="16" t="s">
        <v>383</v>
      </c>
      <c r="B257" s="30">
        <v>46044.00070444444</v>
      </c>
      <c r="D257" s="17">
        <v>0.0</v>
      </c>
    </row>
    <row r="258">
      <c r="A258" s="16" t="s">
        <v>384</v>
      </c>
      <c r="B258" s="30">
        <v>46044.00070444444</v>
      </c>
      <c r="D258" s="17">
        <v>0.0</v>
      </c>
    </row>
    <row r="259">
      <c r="A259" s="16" t="s">
        <v>385</v>
      </c>
      <c r="B259" s="30">
        <v>46044.00070444444</v>
      </c>
      <c r="D259" s="17">
        <v>0.0</v>
      </c>
    </row>
    <row r="260">
      <c r="A260" s="16" t="s">
        <v>386</v>
      </c>
      <c r="B260" s="30">
        <v>46044.00070444444</v>
      </c>
      <c r="D260" s="17">
        <v>0.0</v>
      </c>
    </row>
    <row r="261">
      <c r="A261" s="16" t="s">
        <v>387</v>
      </c>
      <c r="B261" s="30">
        <v>46044.00070444444</v>
      </c>
      <c r="D261" s="17">
        <v>0.0</v>
      </c>
    </row>
    <row r="262">
      <c r="A262" s="16" t="s">
        <v>388</v>
      </c>
      <c r="B262" s="30">
        <v>46044.00070444444</v>
      </c>
      <c r="D262" s="17">
        <v>0.0</v>
      </c>
    </row>
    <row r="263">
      <c r="A263" s="16" t="s">
        <v>389</v>
      </c>
      <c r="B263" s="30">
        <v>46044.00070444444</v>
      </c>
      <c r="D263" s="17">
        <v>0.0</v>
      </c>
    </row>
    <row r="264">
      <c r="A264" s="16" t="s">
        <v>390</v>
      </c>
      <c r="B264" s="30">
        <v>46044.00070444444</v>
      </c>
      <c r="D264" s="17">
        <v>0.0</v>
      </c>
    </row>
    <row r="265">
      <c r="A265" s="16" t="s">
        <v>391</v>
      </c>
      <c r="B265" s="30">
        <v>46044.00070444444</v>
      </c>
      <c r="D265" s="17">
        <v>0.0</v>
      </c>
    </row>
    <row r="266">
      <c r="A266" s="16" t="s">
        <v>392</v>
      </c>
      <c r="B266" s="30">
        <v>46044.00070444444</v>
      </c>
      <c r="D266" s="17">
        <v>0.0</v>
      </c>
    </row>
    <row r="267">
      <c r="A267" s="16" t="s">
        <v>393</v>
      </c>
      <c r="B267" s="30">
        <v>46044.00070444444</v>
      </c>
      <c r="D267" s="17">
        <v>0.0</v>
      </c>
    </row>
    <row r="268">
      <c r="A268" s="16" t="s">
        <v>394</v>
      </c>
      <c r="B268" s="30">
        <v>46044.00070444444</v>
      </c>
      <c r="D268" s="17">
        <v>0.0</v>
      </c>
    </row>
    <row r="269">
      <c r="A269" s="16" t="s">
        <v>395</v>
      </c>
      <c r="B269" s="30">
        <v>46044.00070444444</v>
      </c>
      <c r="D269" s="17">
        <v>0.0</v>
      </c>
    </row>
    <row r="270">
      <c r="A270" s="16" t="s">
        <v>396</v>
      </c>
      <c r="B270" s="30">
        <v>46044.00070444444</v>
      </c>
      <c r="D270" s="17">
        <v>0.0</v>
      </c>
    </row>
    <row r="271">
      <c r="A271" s="16" t="s">
        <v>397</v>
      </c>
      <c r="B271" s="30">
        <v>46044.00070444444</v>
      </c>
      <c r="D271" s="17">
        <v>0.0</v>
      </c>
    </row>
    <row r="272">
      <c r="A272" s="16" t="s">
        <v>398</v>
      </c>
      <c r="B272" s="30">
        <v>46044.00070444444</v>
      </c>
      <c r="D272" s="17">
        <v>0.0</v>
      </c>
    </row>
    <row r="273">
      <c r="A273" s="16" t="s">
        <v>399</v>
      </c>
      <c r="B273" s="30">
        <v>46044.00070444444</v>
      </c>
      <c r="D273" s="17">
        <v>0.0</v>
      </c>
    </row>
    <row r="274">
      <c r="A274" s="16" t="s">
        <v>400</v>
      </c>
      <c r="B274" s="30">
        <v>46044.00070444444</v>
      </c>
      <c r="D274" s="17">
        <v>0.0</v>
      </c>
    </row>
    <row r="275">
      <c r="A275" s="16" t="s">
        <v>401</v>
      </c>
      <c r="B275" s="30">
        <v>46044.00070444444</v>
      </c>
      <c r="D275" s="17">
        <v>0.0</v>
      </c>
    </row>
    <row r="276">
      <c r="A276" s="16" t="s">
        <v>402</v>
      </c>
      <c r="B276" s="30">
        <v>46044.00070444444</v>
      </c>
      <c r="D276" s="17">
        <v>0.0</v>
      </c>
    </row>
    <row r="277">
      <c r="A277" s="16" t="s">
        <v>403</v>
      </c>
      <c r="B277" s="30">
        <v>46044.00070444444</v>
      </c>
      <c r="D277" s="17">
        <v>0.0</v>
      </c>
    </row>
    <row r="278">
      <c r="A278" s="16" t="s">
        <v>404</v>
      </c>
      <c r="B278" s="30">
        <v>46044.00070444444</v>
      </c>
      <c r="D278" s="17">
        <v>0.0</v>
      </c>
    </row>
    <row r="279">
      <c r="A279" s="16" t="s">
        <v>405</v>
      </c>
      <c r="B279" s="30">
        <v>46044.00070444444</v>
      </c>
      <c r="D279" s="17">
        <v>0.0</v>
      </c>
    </row>
    <row r="280">
      <c r="A280" s="16" t="s">
        <v>406</v>
      </c>
      <c r="B280" s="30">
        <v>46044.00070444444</v>
      </c>
      <c r="D280" s="17">
        <v>0.0</v>
      </c>
    </row>
    <row r="281">
      <c r="A281" s="16" t="s">
        <v>407</v>
      </c>
      <c r="B281" s="30">
        <v>46044.00070444444</v>
      </c>
      <c r="D281" s="17">
        <v>0.0</v>
      </c>
    </row>
    <row r="282">
      <c r="A282" s="16" t="s">
        <v>408</v>
      </c>
      <c r="B282" s="30">
        <v>46044.00070444444</v>
      </c>
      <c r="D282" s="17">
        <v>0.0</v>
      </c>
    </row>
    <row r="283">
      <c r="A283" s="16" t="s">
        <v>409</v>
      </c>
      <c r="B283" s="30">
        <v>46044.00070444444</v>
      </c>
      <c r="D283" s="17">
        <v>0.0</v>
      </c>
    </row>
    <row r="284">
      <c r="A284" s="16" t="s">
        <v>410</v>
      </c>
      <c r="B284" s="30">
        <v>46044.00070444444</v>
      </c>
      <c r="D284" s="17">
        <v>0.0</v>
      </c>
    </row>
    <row r="285">
      <c r="A285" s="16" t="s">
        <v>411</v>
      </c>
      <c r="B285" s="30">
        <v>46044.00070444444</v>
      </c>
      <c r="D285" s="17">
        <v>0.0</v>
      </c>
    </row>
    <row r="286">
      <c r="A286" s="16" t="s">
        <v>412</v>
      </c>
      <c r="B286" s="30">
        <v>46044.00070444444</v>
      </c>
      <c r="D286" s="17">
        <v>0.0</v>
      </c>
    </row>
    <row r="287">
      <c r="A287" s="16" t="s">
        <v>413</v>
      </c>
      <c r="B287" s="30">
        <v>46044.00070444444</v>
      </c>
      <c r="D287" s="17">
        <v>0.0</v>
      </c>
    </row>
    <row r="288">
      <c r="A288" s="16" t="s">
        <v>414</v>
      </c>
      <c r="B288" s="30">
        <v>46044.00070444444</v>
      </c>
      <c r="D288" s="17">
        <v>0.0</v>
      </c>
    </row>
    <row r="289">
      <c r="A289" s="16" t="s">
        <v>415</v>
      </c>
      <c r="B289" s="30">
        <v>46044.00070444444</v>
      </c>
      <c r="D289" s="17">
        <v>0.0</v>
      </c>
    </row>
    <row r="290">
      <c r="A290" s="16" t="s">
        <v>416</v>
      </c>
      <c r="B290" s="30">
        <v>46044.00070444444</v>
      </c>
      <c r="D290" s="17">
        <v>0.0</v>
      </c>
    </row>
    <row r="291">
      <c r="A291" s="16" t="s">
        <v>417</v>
      </c>
      <c r="B291" s="30">
        <v>46044.00070444444</v>
      </c>
      <c r="D291" s="17">
        <v>0.0</v>
      </c>
    </row>
    <row r="292">
      <c r="A292" s="16" t="s">
        <v>418</v>
      </c>
      <c r="B292" s="30">
        <v>46044.00070444444</v>
      </c>
      <c r="D292" s="17">
        <v>0.0</v>
      </c>
    </row>
    <row r="293">
      <c r="A293" s="16" t="s">
        <v>419</v>
      </c>
      <c r="B293" s="30">
        <v>46044.00070444444</v>
      </c>
      <c r="D293" s="17">
        <v>0.0</v>
      </c>
    </row>
    <row r="294">
      <c r="A294" s="16" t="s">
        <v>420</v>
      </c>
      <c r="B294" s="30">
        <v>46044.00070444444</v>
      </c>
      <c r="D294" s="17">
        <v>0.0</v>
      </c>
    </row>
    <row r="295">
      <c r="A295" s="16" t="s">
        <v>421</v>
      </c>
      <c r="B295" s="30">
        <v>46044.00070444444</v>
      </c>
      <c r="D295" s="17">
        <v>0.0</v>
      </c>
    </row>
    <row r="296">
      <c r="A296" s="16" t="s">
        <v>422</v>
      </c>
      <c r="B296" s="30">
        <v>46044.00070444444</v>
      </c>
      <c r="D296" s="17">
        <v>0.0</v>
      </c>
    </row>
    <row r="297">
      <c r="A297" s="16" t="s">
        <v>423</v>
      </c>
      <c r="B297" s="30">
        <v>46044.00070444444</v>
      </c>
      <c r="D297" s="17">
        <v>0.0</v>
      </c>
    </row>
    <row r="298">
      <c r="A298" s="16" t="s">
        <v>424</v>
      </c>
      <c r="B298" s="30">
        <v>46044.00070444444</v>
      </c>
      <c r="D298" s="17">
        <v>0.0</v>
      </c>
    </row>
    <row r="299">
      <c r="A299" s="16" t="s">
        <v>425</v>
      </c>
      <c r="B299" s="30">
        <v>46044.00070444444</v>
      </c>
      <c r="D299" s="17">
        <v>0.0</v>
      </c>
    </row>
    <row r="300">
      <c r="A300" s="16" t="s">
        <v>426</v>
      </c>
      <c r="B300" s="30">
        <v>46044.00070444444</v>
      </c>
      <c r="D300" s="17">
        <v>0.0</v>
      </c>
    </row>
    <row r="301">
      <c r="A301" s="16" t="s">
        <v>427</v>
      </c>
      <c r="B301" s="30">
        <v>46044.00070444444</v>
      </c>
      <c r="D301" s="17">
        <v>0.0</v>
      </c>
    </row>
    <row r="302">
      <c r="A302" s="16" t="s">
        <v>428</v>
      </c>
      <c r="B302" s="30">
        <v>46044.00070444444</v>
      </c>
      <c r="D302" s="17">
        <v>0.0</v>
      </c>
    </row>
    <row r="303">
      <c r="A303" s="16" t="s">
        <v>429</v>
      </c>
      <c r="B303" s="30">
        <v>46044.00070444444</v>
      </c>
      <c r="D303" s="17">
        <v>0.0</v>
      </c>
    </row>
    <row r="304">
      <c r="A304" s="16" t="s">
        <v>430</v>
      </c>
      <c r="B304" s="30">
        <v>46044.00070444444</v>
      </c>
      <c r="D304" s="17">
        <v>0.0</v>
      </c>
    </row>
    <row r="305">
      <c r="A305" s="16" t="s">
        <v>431</v>
      </c>
      <c r="B305" s="30">
        <v>46044.00070444444</v>
      </c>
      <c r="D305" s="17">
        <v>0.0</v>
      </c>
    </row>
    <row r="306">
      <c r="A306" s="16" t="s">
        <v>432</v>
      </c>
      <c r="B306" s="30">
        <v>46044.00070444444</v>
      </c>
      <c r="D306" s="17">
        <v>0.0</v>
      </c>
    </row>
    <row r="307">
      <c r="A307" s="16" t="s">
        <v>433</v>
      </c>
      <c r="B307" s="30">
        <v>46044.00070444444</v>
      </c>
      <c r="D307" s="17">
        <v>0.0</v>
      </c>
    </row>
    <row r="308">
      <c r="A308" s="16" t="s">
        <v>434</v>
      </c>
      <c r="B308" s="30">
        <v>46044.00070444444</v>
      </c>
      <c r="D308" s="17">
        <v>0.0</v>
      </c>
    </row>
    <row r="309">
      <c r="A309" s="16" t="s">
        <v>435</v>
      </c>
      <c r="B309" s="30">
        <v>46044.00070444444</v>
      </c>
      <c r="D309" s="17">
        <v>0.0</v>
      </c>
    </row>
    <row r="310">
      <c r="A310" s="16" t="s">
        <v>436</v>
      </c>
      <c r="B310" s="30">
        <v>46044.00070444444</v>
      </c>
      <c r="D310" s="17">
        <v>0.0</v>
      </c>
    </row>
    <row r="311">
      <c r="A311" s="16" t="s">
        <v>437</v>
      </c>
      <c r="B311" s="30">
        <v>46044.00070444444</v>
      </c>
      <c r="D311" s="17">
        <v>0.0</v>
      </c>
    </row>
    <row r="312">
      <c r="A312" s="16" t="s">
        <v>438</v>
      </c>
      <c r="B312" s="30">
        <v>46044.00070444444</v>
      </c>
      <c r="D312" s="17">
        <v>0.0</v>
      </c>
    </row>
    <row r="313">
      <c r="A313" s="16" t="s">
        <v>439</v>
      </c>
      <c r="B313" s="30">
        <v>46044.00070444444</v>
      </c>
      <c r="D313" s="17">
        <v>0.0</v>
      </c>
    </row>
    <row r="314">
      <c r="A314" s="16" t="s">
        <v>440</v>
      </c>
      <c r="B314" s="30">
        <v>46044.00070444444</v>
      </c>
      <c r="D314" s="17">
        <v>0.0</v>
      </c>
    </row>
    <row r="315">
      <c r="A315" s="16" t="s">
        <v>441</v>
      </c>
      <c r="B315" s="30">
        <v>46044.00070444444</v>
      </c>
      <c r="D315" s="17">
        <v>0.0</v>
      </c>
    </row>
    <row r="316">
      <c r="A316" s="16" t="s">
        <v>442</v>
      </c>
      <c r="B316" s="30">
        <v>46044.00070444444</v>
      </c>
      <c r="D316" s="17">
        <v>0.0</v>
      </c>
    </row>
    <row r="317">
      <c r="A317" s="16" t="s">
        <v>443</v>
      </c>
      <c r="B317" s="30">
        <v>46044.00070444444</v>
      </c>
      <c r="D317" s="17">
        <v>0.0</v>
      </c>
    </row>
    <row r="318">
      <c r="A318" s="16" t="s">
        <v>444</v>
      </c>
      <c r="B318" s="30">
        <v>46044.00070444444</v>
      </c>
      <c r="D318" s="17">
        <v>0.0</v>
      </c>
    </row>
    <row r="319">
      <c r="A319" s="16" t="s">
        <v>445</v>
      </c>
      <c r="B319" s="30">
        <v>46044.00070444444</v>
      </c>
      <c r="D319" s="17">
        <v>0.0</v>
      </c>
    </row>
    <row r="320">
      <c r="A320" s="16" t="s">
        <v>446</v>
      </c>
      <c r="B320" s="30">
        <v>46044.00070444444</v>
      </c>
      <c r="D320" s="17">
        <v>0.0</v>
      </c>
    </row>
    <row r="321">
      <c r="A321" s="16" t="s">
        <v>447</v>
      </c>
      <c r="B321" s="30">
        <v>46044.00070444444</v>
      </c>
      <c r="D321" s="17">
        <v>0.0</v>
      </c>
    </row>
    <row r="322">
      <c r="A322" s="16" t="s">
        <v>448</v>
      </c>
      <c r="B322" s="30">
        <v>46044.00070444444</v>
      </c>
      <c r="D322" s="17">
        <v>0.0</v>
      </c>
    </row>
    <row r="323">
      <c r="A323" s="16" t="s">
        <v>449</v>
      </c>
      <c r="B323" s="30">
        <v>46044.00070444444</v>
      </c>
      <c r="D323" s="17">
        <v>0.0</v>
      </c>
    </row>
    <row r="324">
      <c r="A324" s="16" t="s">
        <v>450</v>
      </c>
      <c r="B324" s="30">
        <v>46044.00070444444</v>
      </c>
      <c r="D324" s="17">
        <v>0.0</v>
      </c>
    </row>
    <row r="325">
      <c r="A325" s="16" t="s">
        <v>451</v>
      </c>
      <c r="B325" s="30">
        <v>46044.00070444444</v>
      </c>
      <c r="D325" s="17">
        <v>0.0</v>
      </c>
    </row>
    <row r="326">
      <c r="A326" s="16" t="s">
        <v>452</v>
      </c>
      <c r="B326" s="30">
        <v>46044.00070444444</v>
      </c>
      <c r="D326" s="17">
        <v>0.0</v>
      </c>
    </row>
    <row r="327">
      <c r="A327" s="16" t="s">
        <v>453</v>
      </c>
      <c r="B327" s="30">
        <v>46044.00070444444</v>
      </c>
      <c r="D327" s="17">
        <v>0.0</v>
      </c>
    </row>
    <row r="328">
      <c r="A328" s="16" t="s">
        <v>454</v>
      </c>
      <c r="B328" s="30">
        <v>46044.00070444444</v>
      </c>
      <c r="D328" s="17">
        <v>0.0</v>
      </c>
    </row>
    <row r="329">
      <c r="A329" s="16" t="s">
        <v>455</v>
      </c>
      <c r="B329" s="30">
        <v>46044.00070444444</v>
      </c>
      <c r="D329" s="17">
        <v>0.0</v>
      </c>
    </row>
    <row r="330">
      <c r="A330" s="16" t="s">
        <v>456</v>
      </c>
      <c r="B330" s="30">
        <v>46044.00070444444</v>
      </c>
      <c r="D330" s="17">
        <v>0.0</v>
      </c>
    </row>
    <row r="331">
      <c r="A331" s="16" t="s">
        <v>457</v>
      </c>
      <c r="B331" s="30">
        <v>46044.00070444444</v>
      </c>
      <c r="D331" s="17">
        <v>0.0</v>
      </c>
    </row>
    <row r="332">
      <c r="A332" s="16" t="s">
        <v>458</v>
      </c>
      <c r="B332" s="30">
        <v>46044.00070444444</v>
      </c>
      <c r="D332" s="17">
        <v>0.0</v>
      </c>
    </row>
    <row r="333">
      <c r="A333" s="16" t="s">
        <v>459</v>
      </c>
      <c r="B333" s="30">
        <v>46044.00070444444</v>
      </c>
      <c r="D333" s="17">
        <v>0.0</v>
      </c>
    </row>
    <row r="334">
      <c r="A334" s="16" t="s">
        <v>460</v>
      </c>
      <c r="B334" s="30">
        <v>46044.00070444444</v>
      </c>
      <c r="D334" s="17">
        <v>0.0</v>
      </c>
    </row>
    <row r="335">
      <c r="A335" s="16" t="s">
        <v>461</v>
      </c>
      <c r="B335" s="30">
        <v>46044.00070444444</v>
      </c>
      <c r="D335" s="17">
        <v>0.0</v>
      </c>
    </row>
    <row r="336">
      <c r="A336" s="16" t="s">
        <v>462</v>
      </c>
      <c r="B336" s="30">
        <v>46044.00070444444</v>
      </c>
      <c r="D336" s="17">
        <v>0.0</v>
      </c>
    </row>
    <row r="337">
      <c r="A337" s="16" t="s">
        <v>463</v>
      </c>
      <c r="B337" s="30">
        <v>46044.00070444444</v>
      </c>
      <c r="D337" s="17">
        <v>0.0</v>
      </c>
    </row>
    <row r="338">
      <c r="A338" s="16" t="s">
        <v>464</v>
      </c>
      <c r="B338" s="30">
        <v>46044.00070444444</v>
      </c>
      <c r="D338" s="17">
        <v>0.0</v>
      </c>
    </row>
    <row r="339">
      <c r="A339" s="16" t="s">
        <v>465</v>
      </c>
      <c r="B339" s="30">
        <v>46044.00070444444</v>
      </c>
      <c r="D339" s="17">
        <v>0.0</v>
      </c>
    </row>
    <row r="340">
      <c r="A340" s="16" t="s">
        <v>466</v>
      </c>
      <c r="B340" s="30">
        <v>46044.00070444444</v>
      </c>
      <c r="D340" s="17">
        <v>0.0</v>
      </c>
    </row>
    <row r="341">
      <c r="A341" s="16" t="s">
        <v>467</v>
      </c>
      <c r="B341" s="30">
        <v>46044.00070444444</v>
      </c>
      <c r="D341" s="17">
        <v>0.0</v>
      </c>
    </row>
    <row r="342">
      <c r="A342" s="16" t="s">
        <v>468</v>
      </c>
      <c r="B342" s="30">
        <v>46044.00070444444</v>
      </c>
      <c r="D342" s="17">
        <v>0.0</v>
      </c>
    </row>
    <row r="343">
      <c r="A343" s="16" t="s">
        <v>469</v>
      </c>
      <c r="B343" s="30">
        <v>46044.00070444444</v>
      </c>
      <c r="D343" s="17">
        <v>0.0</v>
      </c>
    </row>
    <row r="344">
      <c r="A344" s="16" t="s">
        <v>470</v>
      </c>
      <c r="B344" s="30">
        <v>46044.00070444444</v>
      </c>
      <c r="D344" s="17">
        <v>0.0</v>
      </c>
    </row>
    <row r="345">
      <c r="A345" s="16" t="s">
        <v>471</v>
      </c>
      <c r="B345" s="30">
        <v>46044.00070444444</v>
      </c>
      <c r="D345" s="17">
        <v>0.0</v>
      </c>
    </row>
    <row r="346">
      <c r="A346" s="16" t="s">
        <v>472</v>
      </c>
      <c r="B346" s="30">
        <v>46044.00070444444</v>
      </c>
      <c r="D346" s="17">
        <v>0.0</v>
      </c>
    </row>
    <row r="347">
      <c r="A347" s="16" t="s">
        <v>473</v>
      </c>
      <c r="B347" s="30">
        <v>46044.00070444444</v>
      </c>
      <c r="D347" s="17">
        <v>0.0</v>
      </c>
    </row>
    <row r="348">
      <c r="A348" s="16" t="s">
        <v>474</v>
      </c>
      <c r="B348" s="30">
        <v>46044.00070444444</v>
      </c>
      <c r="D348" s="17">
        <v>0.0</v>
      </c>
    </row>
    <row r="349">
      <c r="A349" s="16" t="s">
        <v>475</v>
      </c>
      <c r="B349" s="30">
        <v>46044.00070444444</v>
      </c>
      <c r="D349" s="17">
        <v>0.0</v>
      </c>
    </row>
    <row r="350">
      <c r="A350" s="16" t="s">
        <v>476</v>
      </c>
      <c r="B350" s="30">
        <v>46044.00070444444</v>
      </c>
      <c r="D350" s="17">
        <v>0.0</v>
      </c>
    </row>
    <row r="351">
      <c r="A351" s="16" t="s">
        <v>477</v>
      </c>
      <c r="B351" s="30">
        <v>46044.00070444444</v>
      </c>
      <c r="D351" s="17">
        <v>0.0</v>
      </c>
    </row>
    <row r="352">
      <c r="A352" s="16" t="s">
        <v>478</v>
      </c>
      <c r="B352" s="30">
        <v>46044.00070444444</v>
      </c>
      <c r="D352" s="17">
        <v>0.0</v>
      </c>
    </row>
    <row r="353">
      <c r="A353" s="16" t="s">
        <v>479</v>
      </c>
      <c r="B353" s="30">
        <v>46044.00070444444</v>
      </c>
      <c r="D353" s="17">
        <v>0.0</v>
      </c>
    </row>
    <row r="354">
      <c r="A354" s="16" t="s">
        <v>480</v>
      </c>
      <c r="B354" s="30">
        <v>46044.00070444444</v>
      </c>
      <c r="D354" s="17">
        <v>0.0</v>
      </c>
    </row>
    <row r="355">
      <c r="A355" s="16" t="s">
        <v>481</v>
      </c>
      <c r="B355" s="30">
        <v>46044.00070444444</v>
      </c>
      <c r="D355" s="17">
        <v>0.0</v>
      </c>
    </row>
    <row r="356">
      <c r="A356" s="16" t="s">
        <v>482</v>
      </c>
      <c r="B356" s="30">
        <v>46044.00070444444</v>
      </c>
      <c r="D356" s="17">
        <v>0.0</v>
      </c>
    </row>
    <row r="357">
      <c r="A357" s="16" t="s">
        <v>483</v>
      </c>
      <c r="B357" s="30">
        <v>46044.00070444444</v>
      </c>
      <c r="D357" s="17">
        <v>0.0</v>
      </c>
    </row>
    <row r="358">
      <c r="A358" s="16" t="s">
        <v>484</v>
      </c>
      <c r="B358" s="30">
        <v>46044.00070444444</v>
      </c>
      <c r="D358" s="17">
        <v>0.0</v>
      </c>
    </row>
    <row r="359">
      <c r="A359" s="16" t="s">
        <v>485</v>
      </c>
      <c r="B359" s="30">
        <v>46044.00070444444</v>
      </c>
      <c r="D359" s="17">
        <v>0.0</v>
      </c>
    </row>
    <row r="360">
      <c r="A360" s="16" t="s">
        <v>486</v>
      </c>
      <c r="B360" s="30">
        <v>46044.00070444444</v>
      </c>
      <c r="D360" s="17">
        <v>0.0</v>
      </c>
    </row>
    <row r="361">
      <c r="A361" s="16" t="s">
        <v>487</v>
      </c>
      <c r="B361" s="30">
        <v>46044.00070444444</v>
      </c>
      <c r="D361" s="17">
        <v>0.0</v>
      </c>
    </row>
    <row r="362">
      <c r="A362" s="16" t="s">
        <v>488</v>
      </c>
      <c r="B362" s="30">
        <v>46044.00070444444</v>
      </c>
      <c r="D362" s="17">
        <v>0.0</v>
      </c>
    </row>
    <row r="363">
      <c r="A363" s="16" t="s">
        <v>489</v>
      </c>
      <c r="B363" s="30">
        <v>46044.00070444444</v>
      </c>
      <c r="D363" s="17">
        <v>0.0</v>
      </c>
    </row>
    <row r="364">
      <c r="A364" s="16" t="s">
        <v>490</v>
      </c>
      <c r="B364" s="30">
        <v>46044.00070444444</v>
      </c>
      <c r="D364" s="17">
        <v>0.0</v>
      </c>
    </row>
    <row r="365">
      <c r="A365" s="16" t="s">
        <v>491</v>
      </c>
      <c r="B365" s="30">
        <v>46044.00070444444</v>
      </c>
      <c r="D365" s="17">
        <v>0.0</v>
      </c>
    </row>
    <row r="366">
      <c r="A366" s="16" t="s">
        <v>492</v>
      </c>
      <c r="B366" s="30">
        <v>46044.00070444444</v>
      </c>
      <c r="D366" s="17">
        <v>0.0</v>
      </c>
    </row>
    <row r="367">
      <c r="A367" s="16" t="s">
        <v>493</v>
      </c>
      <c r="B367" s="30">
        <v>46044.00070444444</v>
      </c>
      <c r="D367" s="17">
        <v>0.0</v>
      </c>
    </row>
    <row r="368">
      <c r="A368" s="16" t="s">
        <v>494</v>
      </c>
      <c r="B368" s="30">
        <v>46044.00070444444</v>
      </c>
      <c r="D368" s="17">
        <v>0.0</v>
      </c>
    </row>
    <row r="369">
      <c r="A369" s="16" t="s">
        <v>495</v>
      </c>
      <c r="B369" s="30">
        <v>46044.00070444444</v>
      </c>
      <c r="D369" s="17">
        <v>0.0</v>
      </c>
    </row>
    <row r="370">
      <c r="A370" s="16" t="s">
        <v>496</v>
      </c>
      <c r="B370" s="30">
        <v>46044.00070444444</v>
      </c>
      <c r="D370" s="17">
        <v>0.0</v>
      </c>
    </row>
    <row r="371">
      <c r="A371" s="16" t="s">
        <v>497</v>
      </c>
      <c r="B371" s="30">
        <v>46044.00070444444</v>
      </c>
      <c r="D371" s="17">
        <v>0.0</v>
      </c>
    </row>
    <row r="372">
      <c r="A372" s="16" t="s">
        <v>498</v>
      </c>
      <c r="B372" s="30">
        <v>46044.00070444444</v>
      </c>
      <c r="D372" s="17">
        <v>0.0</v>
      </c>
    </row>
    <row r="373">
      <c r="A373" s="16" t="s">
        <v>499</v>
      </c>
      <c r="B373" s="30">
        <v>46044.00070444444</v>
      </c>
      <c r="D373" s="17">
        <v>0.0</v>
      </c>
    </row>
    <row r="374">
      <c r="A374" s="16" t="s">
        <v>500</v>
      </c>
      <c r="B374" s="30">
        <v>46044.00070444444</v>
      </c>
      <c r="D374" s="17">
        <v>0.0</v>
      </c>
    </row>
    <row r="375">
      <c r="A375" s="16" t="s">
        <v>501</v>
      </c>
      <c r="B375" s="30">
        <v>46044.00070444444</v>
      </c>
      <c r="D375" s="17">
        <v>0.0</v>
      </c>
    </row>
    <row r="376">
      <c r="A376" s="16" t="s">
        <v>502</v>
      </c>
      <c r="B376" s="30">
        <v>46044.00070444444</v>
      </c>
      <c r="D376" s="17">
        <v>0.0</v>
      </c>
    </row>
    <row r="377">
      <c r="A377" s="16" t="s">
        <v>503</v>
      </c>
      <c r="B377" s="30">
        <v>46044.00070444444</v>
      </c>
      <c r="D377" s="17">
        <v>0.0</v>
      </c>
    </row>
    <row r="378">
      <c r="A378" s="16" t="s">
        <v>504</v>
      </c>
      <c r="B378" s="30">
        <v>46044.00070444444</v>
      </c>
      <c r="D378" s="17">
        <v>0.0</v>
      </c>
    </row>
    <row r="379">
      <c r="A379" s="16" t="s">
        <v>505</v>
      </c>
      <c r="B379" s="30">
        <v>46044.00070444444</v>
      </c>
      <c r="D379" s="17">
        <v>0.0</v>
      </c>
    </row>
    <row r="380">
      <c r="A380" s="16" t="s">
        <v>506</v>
      </c>
      <c r="B380" s="30">
        <v>46044.00070444444</v>
      </c>
      <c r="D380" s="17">
        <v>0.0</v>
      </c>
    </row>
    <row r="381">
      <c r="A381" s="16" t="s">
        <v>507</v>
      </c>
      <c r="B381" s="30">
        <v>46044.00070444444</v>
      </c>
      <c r="D381" s="17">
        <v>0.0</v>
      </c>
    </row>
    <row r="382">
      <c r="A382" s="16" t="s">
        <v>508</v>
      </c>
      <c r="B382" s="30">
        <v>46044.00070444444</v>
      </c>
      <c r="D382" s="17">
        <v>0.0</v>
      </c>
    </row>
    <row r="383">
      <c r="A383" s="16" t="s">
        <v>509</v>
      </c>
      <c r="B383" s="30">
        <v>46044.00070444444</v>
      </c>
      <c r="D383" s="17">
        <v>0.0</v>
      </c>
    </row>
    <row r="384">
      <c r="A384" s="16" t="s">
        <v>510</v>
      </c>
      <c r="B384" s="30">
        <v>46044.00070444444</v>
      </c>
      <c r="D384" s="17">
        <v>0.0</v>
      </c>
    </row>
    <row r="385">
      <c r="A385" s="16" t="s">
        <v>511</v>
      </c>
      <c r="B385" s="30">
        <v>46044.00070444444</v>
      </c>
      <c r="D385" s="17">
        <v>0.0</v>
      </c>
    </row>
    <row r="386">
      <c r="A386" s="16" t="s">
        <v>512</v>
      </c>
      <c r="B386" s="30">
        <v>46044.00070444444</v>
      </c>
      <c r="D386" s="17">
        <v>0.0</v>
      </c>
    </row>
    <row r="387">
      <c r="A387" s="16" t="s">
        <v>513</v>
      </c>
      <c r="B387" s="30">
        <v>46044.00070444444</v>
      </c>
      <c r="D387" s="17">
        <v>0.0</v>
      </c>
    </row>
    <row r="388">
      <c r="A388" s="16" t="s">
        <v>514</v>
      </c>
      <c r="B388" s="30">
        <v>46044.00070444444</v>
      </c>
      <c r="D388" s="17">
        <v>0.0</v>
      </c>
    </row>
    <row r="389">
      <c r="A389" s="16" t="s">
        <v>515</v>
      </c>
      <c r="B389" s="30">
        <v>46044.00070444444</v>
      </c>
      <c r="D389" s="17">
        <v>0.0</v>
      </c>
    </row>
    <row r="390">
      <c r="A390" s="16" t="s">
        <v>516</v>
      </c>
      <c r="B390" s="30">
        <v>46044.00070444444</v>
      </c>
      <c r="D390" s="17">
        <v>0.0</v>
      </c>
    </row>
    <row r="391">
      <c r="A391" s="16" t="s">
        <v>517</v>
      </c>
      <c r="B391" s="30">
        <v>46044.00070444444</v>
      </c>
      <c r="D391" s="17">
        <v>0.0</v>
      </c>
    </row>
    <row r="392">
      <c r="A392" s="16" t="s">
        <v>518</v>
      </c>
      <c r="B392" s="30">
        <v>46044.00070444444</v>
      </c>
      <c r="D392" s="17">
        <v>0.0</v>
      </c>
    </row>
    <row r="393">
      <c r="A393" s="16" t="s">
        <v>519</v>
      </c>
      <c r="B393" s="30">
        <v>46044.00070444444</v>
      </c>
      <c r="D393" s="17">
        <v>0.0</v>
      </c>
    </row>
    <row r="394">
      <c r="A394" s="16" t="s">
        <v>520</v>
      </c>
      <c r="B394" s="30">
        <v>46044.00070444444</v>
      </c>
      <c r="D394" s="17">
        <v>0.0</v>
      </c>
    </row>
    <row r="395">
      <c r="A395" s="16" t="s">
        <v>521</v>
      </c>
      <c r="B395" s="30">
        <v>46044.00070444444</v>
      </c>
      <c r="D395" s="17">
        <v>0.0</v>
      </c>
    </row>
    <row r="396">
      <c r="A396" s="16" t="s">
        <v>522</v>
      </c>
      <c r="B396" s="30">
        <v>46044.00070444444</v>
      </c>
      <c r="D396" s="17">
        <v>0.0</v>
      </c>
    </row>
    <row r="397">
      <c r="A397" s="16" t="s">
        <v>523</v>
      </c>
      <c r="B397" s="30">
        <v>46044.00070444444</v>
      </c>
      <c r="D397" s="17">
        <v>0.0</v>
      </c>
    </row>
    <row r="398">
      <c r="A398" s="16" t="s">
        <v>524</v>
      </c>
      <c r="B398" s="30">
        <v>46044.00070444444</v>
      </c>
      <c r="D398" s="17">
        <v>0.0</v>
      </c>
    </row>
    <row r="399">
      <c r="A399" s="16" t="s">
        <v>525</v>
      </c>
      <c r="B399" s="30">
        <v>46044.00070445602</v>
      </c>
      <c r="D399" s="17">
        <v>0.0</v>
      </c>
    </row>
    <row r="400">
      <c r="A400" s="16" t="s">
        <v>526</v>
      </c>
      <c r="B400" s="30">
        <v>46044.00070445602</v>
      </c>
      <c r="D400" s="17">
        <v>0.0</v>
      </c>
    </row>
    <row r="401">
      <c r="A401" s="16" t="s">
        <v>527</v>
      </c>
      <c r="B401" s="30">
        <v>46044.00070445602</v>
      </c>
      <c r="D401" s="17">
        <v>0.0</v>
      </c>
    </row>
    <row r="402">
      <c r="A402" s="16" t="s">
        <v>528</v>
      </c>
      <c r="B402" s="30">
        <v>46044.00070445602</v>
      </c>
      <c r="D402" s="17">
        <v>0.0</v>
      </c>
    </row>
    <row r="403">
      <c r="A403" s="16" t="s">
        <v>529</v>
      </c>
      <c r="B403" s="30">
        <v>46044.00070445602</v>
      </c>
      <c r="D403" s="17">
        <v>0.0</v>
      </c>
    </row>
    <row r="404">
      <c r="A404" s="16" t="s">
        <v>530</v>
      </c>
      <c r="B404" s="30">
        <v>46044.00070445602</v>
      </c>
      <c r="D404" s="17">
        <v>0.0</v>
      </c>
    </row>
    <row r="405">
      <c r="A405" s="16" t="s">
        <v>531</v>
      </c>
      <c r="B405" s="30">
        <v>46044.00070445602</v>
      </c>
      <c r="D405" s="17">
        <v>0.0</v>
      </c>
    </row>
    <row r="406">
      <c r="A406" s="16" t="s">
        <v>532</v>
      </c>
      <c r="B406" s="30">
        <v>46044.00070445602</v>
      </c>
      <c r="D406" s="17">
        <v>0.0</v>
      </c>
    </row>
    <row r="407">
      <c r="A407" s="16" t="s">
        <v>533</v>
      </c>
      <c r="B407" s="30">
        <v>46044.00070445602</v>
      </c>
      <c r="D407" s="17">
        <v>0.0</v>
      </c>
    </row>
    <row r="408">
      <c r="A408" s="16" t="s">
        <v>534</v>
      </c>
      <c r="B408" s="30">
        <v>46044.00070445602</v>
      </c>
      <c r="D408" s="17">
        <v>0.0</v>
      </c>
    </row>
    <row r="409">
      <c r="A409" s="16" t="s">
        <v>535</v>
      </c>
      <c r="B409" s="30">
        <v>46044.00070445602</v>
      </c>
      <c r="D409" s="17">
        <v>0.0</v>
      </c>
    </row>
    <row r="410">
      <c r="A410" s="16" t="s">
        <v>536</v>
      </c>
      <c r="B410" s="30">
        <v>46044.00070445602</v>
      </c>
      <c r="D410" s="17">
        <v>0.0</v>
      </c>
    </row>
    <row r="411">
      <c r="A411" s="16" t="s">
        <v>537</v>
      </c>
      <c r="B411" s="30">
        <v>46044.00070445602</v>
      </c>
      <c r="D411" s="17">
        <v>0.0</v>
      </c>
    </row>
    <row r="412">
      <c r="A412" s="16" t="s">
        <v>538</v>
      </c>
      <c r="B412" s="30">
        <v>46044.00070445602</v>
      </c>
      <c r="D412" s="17">
        <v>0.0</v>
      </c>
    </row>
    <row r="413">
      <c r="A413" s="16" t="s">
        <v>539</v>
      </c>
      <c r="B413" s="30">
        <v>46044.00070445602</v>
      </c>
      <c r="D413" s="17">
        <v>0.0</v>
      </c>
    </row>
    <row r="414">
      <c r="A414" s="16" t="s">
        <v>540</v>
      </c>
      <c r="B414" s="30">
        <v>46044.00070445602</v>
      </c>
      <c r="D414" s="17">
        <v>0.0</v>
      </c>
    </row>
    <row r="415">
      <c r="A415" s="16" t="s">
        <v>541</v>
      </c>
      <c r="B415" s="30">
        <v>46044.00070445602</v>
      </c>
      <c r="D415" s="17">
        <v>0.0</v>
      </c>
    </row>
    <row r="416">
      <c r="A416" s="16" t="s">
        <v>542</v>
      </c>
      <c r="B416" s="30">
        <v>46044.00070445602</v>
      </c>
      <c r="D416" s="17">
        <v>0.0</v>
      </c>
    </row>
    <row r="417">
      <c r="A417" s="16" t="s">
        <v>543</v>
      </c>
      <c r="B417" s="30">
        <v>46044.00070445602</v>
      </c>
      <c r="D417" s="17">
        <v>0.0</v>
      </c>
    </row>
    <row r="418">
      <c r="A418" s="16" t="s">
        <v>544</v>
      </c>
      <c r="B418" s="30">
        <v>46044.00070445602</v>
      </c>
      <c r="D418" s="17">
        <v>0.0</v>
      </c>
    </row>
    <row r="419">
      <c r="A419" s="16" t="s">
        <v>545</v>
      </c>
      <c r="B419" s="30">
        <v>46044.00070445602</v>
      </c>
      <c r="D419" s="17">
        <v>0.0</v>
      </c>
    </row>
    <row r="420">
      <c r="A420" s="16" t="s">
        <v>546</v>
      </c>
      <c r="B420" s="30">
        <v>46044.00070445602</v>
      </c>
      <c r="D420" s="17">
        <v>0.0</v>
      </c>
    </row>
    <row r="421">
      <c r="A421" s="16" t="s">
        <v>547</v>
      </c>
      <c r="B421" s="30">
        <v>46044.00070445602</v>
      </c>
      <c r="D421" s="17">
        <v>0.0</v>
      </c>
    </row>
    <row r="422">
      <c r="A422" s="16" t="s">
        <v>548</v>
      </c>
      <c r="B422" s="30">
        <v>46044.00070445602</v>
      </c>
      <c r="D422" s="17">
        <v>0.0</v>
      </c>
    </row>
    <row r="423">
      <c r="A423" s="16" t="s">
        <v>549</v>
      </c>
      <c r="B423" s="30">
        <v>46044.00070445602</v>
      </c>
      <c r="D423" s="17">
        <v>0.0</v>
      </c>
    </row>
    <row r="424">
      <c r="A424" s="16" t="s">
        <v>550</v>
      </c>
      <c r="B424" s="30">
        <v>46044.00070445602</v>
      </c>
      <c r="D424" s="17">
        <v>0.0</v>
      </c>
    </row>
    <row r="425">
      <c r="A425" s="16" t="s">
        <v>551</v>
      </c>
      <c r="B425" s="30">
        <v>46044.00070445602</v>
      </c>
      <c r="D425" s="17">
        <v>0.0</v>
      </c>
    </row>
    <row r="426">
      <c r="A426" s="16" t="s">
        <v>552</v>
      </c>
      <c r="B426" s="30">
        <v>46044.00070445602</v>
      </c>
      <c r="D426" s="17">
        <v>0.0</v>
      </c>
    </row>
    <row r="427">
      <c r="A427" s="16" t="s">
        <v>553</v>
      </c>
      <c r="B427" s="30">
        <v>46044.00070445602</v>
      </c>
      <c r="D427" s="17">
        <v>0.0</v>
      </c>
    </row>
    <row r="428">
      <c r="A428" s="16" t="s">
        <v>554</v>
      </c>
      <c r="B428" s="30">
        <v>46044.00070445602</v>
      </c>
      <c r="D428" s="17">
        <v>0.0</v>
      </c>
    </row>
    <row r="429">
      <c r="A429" s="16" t="s">
        <v>555</v>
      </c>
      <c r="B429" s="30">
        <v>46044.00070445602</v>
      </c>
      <c r="D429" s="17">
        <v>0.0</v>
      </c>
    </row>
    <row r="430">
      <c r="A430" s="16" t="s">
        <v>556</v>
      </c>
      <c r="B430" s="30">
        <v>46044.00070445602</v>
      </c>
      <c r="D430" s="17">
        <v>0.0</v>
      </c>
    </row>
    <row r="431">
      <c r="A431" s="16" t="s">
        <v>557</v>
      </c>
      <c r="B431" s="30">
        <v>46044.00070445602</v>
      </c>
      <c r="D431" s="17">
        <v>0.0</v>
      </c>
    </row>
    <row r="432">
      <c r="A432" s="16" t="s">
        <v>558</v>
      </c>
      <c r="B432" s="30">
        <v>46044.00070445602</v>
      </c>
      <c r="D432" s="17">
        <v>0.0</v>
      </c>
    </row>
    <row r="433">
      <c r="A433" s="16" t="s">
        <v>559</v>
      </c>
      <c r="B433" s="30">
        <v>46044.00070445602</v>
      </c>
      <c r="D433" s="17">
        <v>0.0</v>
      </c>
    </row>
    <row r="434">
      <c r="A434" s="16" t="s">
        <v>560</v>
      </c>
      <c r="B434" s="30">
        <v>46044.00070467593</v>
      </c>
      <c r="D434" s="17">
        <v>0.0</v>
      </c>
    </row>
    <row r="435">
      <c r="A435" s="16" t="s">
        <v>561</v>
      </c>
      <c r="B435" s="30">
        <v>46044.00070467593</v>
      </c>
      <c r="D435" s="17">
        <v>0.0</v>
      </c>
    </row>
    <row r="436">
      <c r="A436" s="16" t="s">
        <v>562</v>
      </c>
      <c r="B436" s="30">
        <v>46044.00070467593</v>
      </c>
      <c r="D436" s="17">
        <v>0.0</v>
      </c>
    </row>
    <row r="437">
      <c r="A437" s="16" t="s">
        <v>563</v>
      </c>
      <c r="B437" s="30">
        <v>46044.00070467593</v>
      </c>
      <c r="D437" s="17">
        <v>0.0</v>
      </c>
    </row>
    <row r="438">
      <c r="A438" s="16" t="s">
        <v>564</v>
      </c>
      <c r="B438" s="30">
        <v>46044.00070467593</v>
      </c>
      <c r="D438" s="17">
        <v>0.0</v>
      </c>
    </row>
    <row r="439">
      <c r="A439" s="16" t="s">
        <v>565</v>
      </c>
      <c r="B439" s="30">
        <v>46044.00070467593</v>
      </c>
      <c r="D439" s="17">
        <v>0.0</v>
      </c>
    </row>
    <row r="440">
      <c r="A440" s="16" t="s">
        <v>566</v>
      </c>
      <c r="B440" s="30">
        <v>46044.00070467593</v>
      </c>
      <c r="D440" s="17">
        <v>0.0</v>
      </c>
    </row>
    <row r="441">
      <c r="A441" s="16" t="s">
        <v>567</v>
      </c>
      <c r="B441" s="30">
        <v>46044.00070467593</v>
      </c>
      <c r="D441" s="17">
        <v>0.0</v>
      </c>
    </row>
    <row r="442">
      <c r="A442" s="16" t="s">
        <v>568</v>
      </c>
      <c r="B442" s="30">
        <v>46044.00070467593</v>
      </c>
      <c r="D442" s="17">
        <v>0.0</v>
      </c>
    </row>
    <row r="443">
      <c r="A443" s="16" t="s">
        <v>569</v>
      </c>
      <c r="B443" s="30">
        <v>46044.00070467593</v>
      </c>
      <c r="D443" s="17">
        <v>0.0</v>
      </c>
    </row>
    <row r="444">
      <c r="A444" s="16" t="s">
        <v>570</v>
      </c>
      <c r="B444" s="30">
        <v>46044.00070467593</v>
      </c>
      <c r="D444" s="17">
        <v>0.0</v>
      </c>
    </row>
    <row r="445">
      <c r="A445" s="16" t="s">
        <v>571</v>
      </c>
      <c r="B445" s="30">
        <v>46044.00070467593</v>
      </c>
      <c r="D445" s="17">
        <v>0.0</v>
      </c>
    </row>
    <row r="446">
      <c r="A446" s="16" t="s">
        <v>572</v>
      </c>
      <c r="B446" s="30">
        <v>46044.00070467593</v>
      </c>
      <c r="D446" s="17">
        <v>0.0</v>
      </c>
    </row>
    <row r="447">
      <c r="A447" s="16" t="s">
        <v>573</v>
      </c>
      <c r="B447" s="30">
        <v>46044.00070467593</v>
      </c>
      <c r="D447" s="17">
        <v>0.0</v>
      </c>
    </row>
    <row r="448">
      <c r="A448" s="16" t="s">
        <v>574</v>
      </c>
      <c r="B448" s="30">
        <v>46044.00070467593</v>
      </c>
      <c r="D448" s="17">
        <v>0.0</v>
      </c>
    </row>
    <row r="449">
      <c r="A449" s="16" t="s">
        <v>575</v>
      </c>
      <c r="B449" s="30">
        <v>46044.00070467593</v>
      </c>
      <c r="D449" s="17">
        <v>0.0</v>
      </c>
    </row>
    <row r="450">
      <c r="A450" s="16" t="s">
        <v>576</v>
      </c>
      <c r="B450" s="30">
        <v>46044.00070467593</v>
      </c>
      <c r="D450" s="17">
        <v>0.0</v>
      </c>
    </row>
    <row r="451">
      <c r="A451" s="16" t="s">
        <v>577</v>
      </c>
      <c r="B451" s="30">
        <v>46044.00070467593</v>
      </c>
      <c r="D451" s="17">
        <v>0.0</v>
      </c>
    </row>
    <row r="452">
      <c r="A452" s="16" t="s">
        <v>578</v>
      </c>
      <c r="B452" s="30">
        <v>46044.00070467593</v>
      </c>
      <c r="D452" s="17">
        <v>0.0</v>
      </c>
    </row>
    <row r="453">
      <c r="A453" s="16" t="s">
        <v>579</v>
      </c>
      <c r="B453" s="30">
        <v>46044.00070467593</v>
      </c>
      <c r="D453" s="17">
        <v>0.0</v>
      </c>
    </row>
    <row r="454">
      <c r="A454" s="16" t="s">
        <v>580</v>
      </c>
      <c r="B454" s="30">
        <v>46044.00070467593</v>
      </c>
      <c r="D454" s="17">
        <v>0.0</v>
      </c>
    </row>
    <row r="455">
      <c r="A455" s="16" t="s">
        <v>581</v>
      </c>
      <c r="B455" s="30">
        <v>46044.00070467593</v>
      </c>
      <c r="D455" s="17">
        <v>0.0</v>
      </c>
    </row>
    <row r="456">
      <c r="A456" s="16" t="s">
        <v>582</v>
      </c>
      <c r="B456" s="30">
        <v>46044.00070467593</v>
      </c>
      <c r="D456" s="17">
        <v>0.0</v>
      </c>
    </row>
    <row r="457">
      <c r="A457" s="16" t="s">
        <v>583</v>
      </c>
      <c r="B457" s="30">
        <v>46044.00070467593</v>
      </c>
      <c r="D457" s="17">
        <v>0.0</v>
      </c>
    </row>
    <row r="458">
      <c r="A458" s="16" t="s">
        <v>584</v>
      </c>
      <c r="B458" s="30">
        <v>46044.00070467593</v>
      </c>
      <c r="D458" s="17">
        <v>0.0</v>
      </c>
    </row>
    <row r="459">
      <c r="A459" s="16" t="s">
        <v>585</v>
      </c>
      <c r="B459" s="30">
        <v>46044.00070467593</v>
      </c>
      <c r="D459" s="17">
        <v>0.0</v>
      </c>
    </row>
    <row r="460">
      <c r="A460" s="16" t="s">
        <v>586</v>
      </c>
      <c r="B460" s="30">
        <v>46044.00070467593</v>
      </c>
      <c r="D460" s="17">
        <v>0.0</v>
      </c>
    </row>
    <row r="461">
      <c r="A461" s="16" t="s">
        <v>587</v>
      </c>
      <c r="B461" s="30">
        <v>46044.00070467593</v>
      </c>
      <c r="D461" s="17">
        <v>0.0</v>
      </c>
    </row>
    <row r="462">
      <c r="A462" s="16" t="s">
        <v>588</v>
      </c>
      <c r="B462" s="30">
        <v>46044.00070467593</v>
      </c>
      <c r="D462" s="17">
        <v>0.0</v>
      </c>
    </row>
    <row r="463">
      <c r="A463" s="16" t="s">
        <v>589</v>
      </c>
      <c r="B463" s="30">
        <v>46044.00070467593</v>
      </c>
      <c r="D463" s="17">
        <v>0.0</v>
      </c>
    </row>
    <row r="464">
      <c r="A464" s="16" t="s">
        <v>590</v>
      </c>
      <c r="B464" s="30">
        <v>46044.00070467593</v>
      </c>
      <c r="D464" s="17">
        <v>0.0</v>
      </c>
    </row>
    <row r="465">
      <c r="A465" s="16" t="s">
        <v>591</v>
      </c>
      <c r="B465" s="30">
        <v>46044.00070467593</v>
      </c>
      <c r="D465" s="17">
        <v>0.0</v>
      </c>
    </row>
    <row r="466">
      <c r="A466" s="16" t="s">
        <v>592</v>
      </c>
      <c r="B466" s="30">
        <v>46044.00070467593</v>
      </c>
      <c r="D466" s="17">
        <v>0.0</v>
      </c>
    </row>
    <row r="467">
      <c r="A467" s="16" t="s">
        <v>593</v>
      </c>
      <c r="B467" s="30">
        <v>46044.00070467593</v>
      </c>
      <c r="D467" s="17">
        <v>0.0</v>
      </c>
    </row>
    <row r="468">
      <c r="A468" s="16" t="s">
        <v>594</v>
      </c>
      <c r="B468" s="30">
        <v>46044.00070467593</v>
      </c>
      <c r="D468" s="17">
        <v>0.0</v>
      </c>
    </row>
    <row r="469">
      <c r="A469" s="16" t="s">
        <v>595</v>
      </c>
      <c r="B469" s="30">
        <v>46044.00070467593</v>
      </c>
      <c r="D469" s="17">
        <v>0.0</v>
      </c>
    </row>
    <row r="470">
      <c r="A470" s="16" t="s">
        <v>596</v>
      </c>
      <c r="B470" s="30">
        <v>46044.00070467593</v>
      </c>
      <c r="D470" s="17">
        <v>0.0</v>
      </c>
    </row>
    <row r="471">
      <c r="A471" s="16" t="s">
        <v>597</v>
      </c>
      <c r="B471" s="30">
        <v>46044.00070467593</v>
      </c>
      <c r="D471" s="17">
        <v>0.0</v>
      </c>
    </row>
    <row r="472">
      <c r="A472" s="16" t="s">
        <v>598</v>
      </c>
      <c r="B472" s="30">
        <v>46044.00070467593</v>
      </c>
      <c r="D472" s="17">
        <v>0.0</v>
      </c>
    </row>
    <row r="473">
      <c r="A473" s="16" t="s">
        <v>599</v>
      </c>
      <c r="B473" s="30">
        <v>46044.00070467593</v>
      </c>
      <c r="D473" s="17">
        <v>0.0</v>
      </c>
    </row>
    <row r="474">
      <c r="A474" s="16" t="s">
        <v>600</v>
      </c>
      <c r="B474" s="30">
        <v>46044.00070467593</v>
      </c>
      <c r="D474" s="17">
        <v>0.0</v>
      </c>
    </row>
    <row r="475">
      <c r="A475" s="16" t="s">
        <v>601</v>
      </c>
      <c r="B475" s="30">
        <v>46044.00070467593</v>
      </c>
      <c r="D475" s="17">
        <v>0.0</v>
      </c>
    </row>
    <row r="476">
      <c r="A476" s="16" t="s">
        <v>602</v>
      </c>
      <c r="B476" s="30">
        <v>46044.00070467593</v>
      </c>
      <c r="D476" s="17">
        <v>0.0</v>
      </c>
    </row>
    <row r="477">
      <c r="A477" s="16" t="s">
        <v>603</v>
      </c>
      <c r="B477" s="30">
        <v>46044.00070467593</v>
      </c>
      <c r="D477" s="17">
        <v>0.0</v>
      </c>
    </row>
    <row r="478">
      <c r="A478" s="16" t="s">
        <v>604</v>
      </c>
      <c r="B478" s="30">
        <v>46044.00070467593</v>
      </c>
      <c r="D478" s="17">
        <v>0.0</v>
      </c>
    </row>
    <row r="479">
      <c r="A479" s="16" t="s">
        <v>605</v>
      </c>
      <c r="B479" s="30">
        <v>46044.00070467593</v>
      </c>
      <c r="D479" s="17">
        <v>0.0</v>
      </c>
    </row>
    <row r="480">
      <c r="A480" s="16" t="s">
        <v>606</v>
      </c>
      <c r="B480" s="30">
        <v>46044.00070467593</v>
      </c>
      <c r="D480" s="17">
        <v>0.0</v>
      </c>
    </row>
    <row r="481">
      <c r="A481" s="16" t="s">
        <v>607</v>
      </c>
      <c r="B481" s="30">
        <v>46044.00070467593</v>
      </c>
      <c r="D481" s="17">
        <v>0.0</v>
      </c>
    </row>
    <row r="482">
      <c r="A482" s="16" t="s">
        <v>608</v>
      </c>
      <c r="B482" s="30">
        <v>46044.00070467593</v>
      </c>
      <c r="D482" s="17">
        <v>0.0</v>
      </c>
    </row>
    <row r="483">
      <c r="A483" s="16" t="s">
        <v>609</v>
      </c>
      <c r="B483" s="30">
        <v>46044.00070467593</v>
      </c>
      <c r="D483" s="17">
        <v>0.0</v>
      </c>
    </row>
    <row r="484">
      <c r="A484" s="16" t="s">
        <v>610</v>
      </c>
      <c r="B484" s="30">
        <v>46044.00070467593</v>
      </c>
      <c r="D484" s="17">
        <v>0.0</v>
      </c>
    </row>
    <row r="485">
      <c r="A485" s="16" t="s">
        <v>611</v>
      </c>
      <c r="B485" s="30">
        <v>46044.00070467593</v>
      </c>
      <c r="D485" s="17">
        <v>0.0</v>
      </c>
    </row>
    <row r="486">
      <c r="A486" s="16" t="s">
        <v>612</v>
      </c>
      <c r="B486" s="30">
        <v>46044.00070467593</v>
      </c>
      <c r="D486" s="17">
        <v>0.0</v>
      </c>
    </row>
    <row r="487">
      <c r="A487" s="16" t="s">
        <v>613</v>
      </c>
      <c r="B487" s="30">
        <v>46044.00070467593</v>
      </c>
      <c r="D487" s="17">
        <v>0.0</v>
      </c>
    </row>
    <row r="488">
      <c r="A488" s="16" t="s">
        <v>614</v>
      </c>
      <c r="B488" s="30">
        <v>46044.00070467593</v>
      </c>
      <c r="D488" s="17">
        <v>0.0</v>
      </c>
    </row>
    <row r="489">
      <c r="A489" s="16" t="s">
        <v>615</v>
      </c>
      <c r="B489" s="30">
        <v>46044.00070467593</v>
      </c>
      <c r="D489" s="17">
        <v>0.0</v>
      </c>
    </row>
    <row r="490">
      <c r="A490" s="16" t="s">
        <v>616</v>
      </c>
      <c r="B490" s="30">
        <v>46044.00070467593</v>
      </c>
      <c r="D490" s="17">
        <v>0.0</v>
      </c>
    </row>
    <row r="491">
      <c r="A491" s="16" t="s">
        <v>617</v>
      </c>
      <c r="B491" s="30">
        <v>46044.00070467593</v>
      </c>
      <c r="D491" s="17">
        <v>0.0</v>
      </c>
    </row>
    <row r="492">
      <c r="A492" s="16" t="s">
        <v>618</v>
      </c>
      <c r="B492" s="30">
        <v>46044.00070467593</v>
      </c>
      <c r="D492" s="17">
        <v>0.0</v>
      </c>
    </row>
    <row r="493">
      <c r="A493" s="16" t="s">
        <v>619</v>
      </c>
      <c r="B493" s="30">
        <v>46044.00070467593</v>
      </c>
      <c r="D493" s="17">
        <v>0.0</v>
      </c>
    </row>
    <row r="494">
      <c r="A494" s="16" t="s">
        <v>620</v>
      </c>
      <c r="B494" s="30">
        <v>46044.00070467593</v>
      </c>
      <c r="D494" s="17">
        <v>0.0</v>
      </c>
    </row>
    <row r="495">
      <c r="A495" s="16" t="s">
        <v>621</v>
      </c>
      <c r="B495" s="30">
        <v>46044.00070467593</v>
      </c>
      <c r="D495" s="17">
        <v>0.0</v>
      </c>
    </row>
    <row r="496">
      <c r="A496" s="16" t="s">
        <v>622</v>
      </c>
      <c r="B496" s="30">
        <v>46044.00070467593</v>
      </c>
      <c r="D496" s="17">
        <v>0.0</v>
      </c>
    </row>
    <row r="497">
      <c r="A497" s="16" t="s">
        <v>623</v>
      </c>
      <c r="B497" s="30">
        <v>46044.00070467593</v>
      </c>
      <c r="D497" s="17">
        <v>0.0</v>
      </c>
    </row>
    <row r="498">
      <c r="A498" s="16" t="s">
        <v>624</v>
      </c>
      <c r="B498" s="30">
        <v>46044.00070467593</v>
      </c>
      <c r="D498" s="17">
        <v>0.0</v>
      </c>
    </row>
    <row r="499">
      <c r="A499" s="16" t="s">
        <v>625</v>
      </c>
      <c r="B499" s="30">
        <v>46044.00070467593</v>
      </c>
      <c r="D499" s="17">
        <v>0.0</v>
      </c>
    </row>
    <row r="500">
      <c r="A500" s="16" t="s">
        <v>626</v>
      </c>
      <c r="B500" s="30">
        <v>46044.00070467593</v>
      </c>
      <c r="D500" s="17">
        <v>0.0</v>
      </c>
    </row>
    <row r="501">
      <c r="A501" s="16" t="s">
        <v>627</v>
      </c>
      <c r="B501" s="30">
        <v>46044.00070467593</v>
      </c>
      <c r="D501" s="17">
        <v>0.0</v>
      </c>
    </row>
    <row r="502">
      <c r="A502" s="16" t="s">
        <v>628</v>
      </c>
      <c r="B502" s="30">
        <v>46044.00070467593</v>
      </c>
      <c r="D502" s="17">
        <v>0.0</v>
      </c>
    </row>
    <row r="503">
      <c r="A503" s="16" t="s">
        <v>629</v>
      </c>
      <c r="B503" s="30">
        <v>46044.00070467593</v>
      </c>
      <c r="D503" s="17">
        <v>0.0</v>
      </c>
    </row>
    <row r="504">
      <c r="A504" s="16" t="s">
        <v>630</v>
      </c>
      <c r="B504" s="30">
        <v>46044.00070467593</v>
      </c>
      <c r="D504" s="17">
        <v>0.0</v>
      </c>
    </row>
    <row r="505">
      <c r="A505" s="16" t="s">
        <v>631</v>
      </c>
      <c r="B505" s="30">
        <v>46044.00070467593</v>
      </c>
      <c r="D505" s="17">
        <v>0.0</v>
      </c>
    </row>
    <row r="506">
      <c r="A506" s="16" t="s">
        <v>632</v>
      </c>
      <c r="B506" s="30">
        <v>46044.00070467593</v>
      </c>
      <c r="D506" s="17">
        <v>0.0</v>
      </c>
    </row>
    <row r="507">
      <c r="A507" s="16" t="s">
        <v>633</v>
      </c>
      <c r="B507" s="30">
        <v>46044.00070467593</v>
      </c>
      <c r="D507" s="17">
        <v>0.0</v>
      </c>
    </row>
    <row r="508">
      <c r="A508" s="16" t="s">
        <v>634</v>
      </c>
      <c r="B508" s="30">
        <v>46044.00070467593</v>
      </c>
      <c r="D508" s="17">
        <v>0.0</v>
      </c>
    </row>
    <row r="509">
      <c r="A509" s="16" t="s">
        <v>635</v>
      </c>
      <c r="B509" s="30">
        <v>46044.00070467593</v>
      </c>
      <c r="D509" s="17">
        <v>0.0</v>
      </c>
    </row>
    <row r="510">
      <c r="A510" s="16" t="s">
        <v>636</v>
      </c>
      <c r="B510" s="30">
        <v>46044.00070467593</v>
      </c>
      <c r="D510" s="17">
        <v>0.0</v>
      </c>
    </row>
    <row r="511">
      <c r="A511" s="16" t="s">
        <v>637</v>
      </c>
      <c r="B511" s="30">
        <v>46044.00070467593</v>
      </c>
      <c r="D511" s="17">
        <v>0.0</v>
      </c>
    </row>
    <row r="512">
      <c r="A512" s="16" t="s">
        <v>638</v>
      </c>
      <c r="B512" s="30">
        <v>46044.00070467593</v>
      </c>
      <c r="D512" s="17">
        <v>0.0</v>
      </c>
    </row>
    <row r="513">
      <c r="A513" s="16" t="s">
        <v>639</v>
      </c>
      <c r="B513" s="30">
        <v>46044.000704687496</v>
      </c>
      <c r="D513" s="17">
        <v>0.0</v>
      </c>
    </row>
    <row r="514">
      <c r="A514" s="16" t="s">
        <v>640</v>
      </c>
      <c r="B514" s="30">
        <v>46044.000704687496</v>
      </c>
      <c r="D514" s="17">
        <v>0.0</v>
      </c>
    </row>
    <row r="515">
      <c r="A515" s="16" t="s">
        <v>641</v>
      </c>
      <c r="B515" s="30">
        <v>46044.000704687496</v>
      </c>
      <c r="D515" s="17">
        <v>0.0</v>
      </c>
    </row>
    <row r="516">
      <c r="A516" s="16" t="s">
        <v>642</v>
      </c>
      <c r="B516" s="30">
        <v>46044.000704687496</v>
      </c>
      <c r="D516" s="17">
        <v>0.0</v>
      </c>
    </row>
    <row r="517">
      <c r="A517" s="16" t="s">
        <v>643</v>
      </c>
      <c r="B517" s="30">
        <v>46044.000704687496</v>
      </c>
      <c r="D517" s="17">
        <v>0.0</v>
      </c>
    </row>
    <row r="518">
      <c r="A518" s="16" t="s">
        <v>644</v>
      </c>
      <c r="B518" s="30">
        <v>46044.000704687496</v>
      </c>
      <c r="D518" s="17">
        <v>0.0</v>
      </c>
    </row>
    <row r="519">
      <c r="A519" s="16" t="s">
        <v>645</v>
      </c>
      <c r="B519" s="30">
        <v>46044.000704687496</v>
      </c>
      <c r="D519" s="17">
        <v>0.0</v>
      </c>
    </row>
    <row r="520">
      <c r="A520" s="16" t="s">
        <v>646</v>
      </c>
      <c r="B520" s="30">
        <v>46044.000704687496</v>
      </c>
      <c r="D520" s="17">
        <v>0.0</v>
      </c>
    </row>
    <row r="521">
      <c r="A521" s="16" t="s">
        <v>647</v>
      </c>
      <c r="B521" s="30">
        <v>46044.000704687496</v>
      </c>
      <c r="D521" s="17">
        <v>0.0</v>
      </c>
    </row>
    <row r="522">
      <c r="A522" s="16" t="s">
        <v>648</v>
      </c>
      <c r="B522" s="30">
        <v>46044.000704687496</v>
      </c>
      <c r="D522" s="17">
        <v>0.0</v>
      </c>
    </row>
    <row r="523">
      <c r="A523" s="16" t="s">
        <v>649</v>
      </c>
      <c r="B523" s="30">
        <v>46044.000704687496</v>
      </c>
      <c r="D523" s="17">
        <v>0.0</v>
      </c>
    </row>
    <row r="524">
      <c r="A524" s="16" t="s">
        <v>650</v>
      </c>
      <c r="B524" s="30">
        <v>46044.000704687496</v>
      </c>
      <c r="D524" s="17">
        <v>0.0</v>
      </c>
    </row>
    <row r="525">
      <c r="A525" s="16" t="s">
        <v>651</v>
      </c>
      <c r="B525" s="30">
        <v>46044.000704687496</v>
      </c>
      <c r="D525" s="17">
        <v>0.0</v>
      </c>
    </row>
    <row r="526">
      <c r="A526" s="16" t="s">
        <v>652</v>
      </c>
      <c r="B526" s="30">
        <v>46044.000704687496</v>
      </c>
      <c r="D526" s="17">
        <v>0.0</v>
      </c>
    </row>
    <row r="527">
      <c r="A527" s="16" t="s">
        <v>653</v>
      </c>
      <c r="B527" s="30">
        <v>46044.000704687496</v>
      </c>
      <c r="D527" s="17">
        <v>0.0</v>
      </c>
    </row>
    <row r="528">
      <c r="A528" s="16" t="s">
        <v>654</v>
      </c>
      <c r="B528" s="30">
        <v>46044.000704687496</v>
      </c>
      <c r="D528" s="17">
        <v>0.0</v>
      </c>
    </row>
    <row r="529">
      <c r="A529" s="16" t="s">
        <v>655</v>
      </c>
      <c r="B529" s="30">
        <v>46044.000704687496</v>
      </c>
      <c r="D529" s="17">
        <v>0.0</v>
      </c>
    </row>
    <row r="530">
      <c r="A530" s="16" t="s">
        <v>656</v>
      </c>
      <c r="B530" s="30">
        <v>46044.000704687496</v>
      </c>
      <c r="D530" s="17">
        <v>0.0</v>
      </c>
    </row>
    <row r="531">
      <c r="A531" s="16" t="s">
        <v>657</v>
      </c>
      <c r="B531" s="30">
        <v>46044.000704687496</v>
      </c>
      <c r="D531" s="17">
        <v>0.0</v>
      </c>
    </row>
    <row r="532">
      <c r="A532" s="16" t="s">
        <v>658</v>
      </c>
      <c r="B532" s="30">
        <v>46044.000704687496</v>
      </c>
      <c r="D532" s="17">
        <v>0.0</v>
      </c>
    </row>
    <row r="533">
      <c r="A533" s="16" t="s">
        <v>659</v>
      </c>
      <c r="B533" s="30">
        <v>46044.000704687496</v>
      </c>
      <c r="D533" s="17">
        <v>0.0</v>
      </c>
    </row>
    <row r="534">
      <c r="A534" s="16" t="s">
        <v>660</v>
      </c>
      <c r="B534" s="30">
        <v>46044.000704687496</v>
      </c>
      <c r="D534" s="17">
        <v>0.0</v>
      </c>
    </row>
    <row r="535">
      <c r="A535" s="16" t="s">
        <v>661</v>
      </c>
      <c r="B535" s="30">
        <v>46044.000704687496</v>
      </c>
      <c r="D535" s="17">
        <v>0.0</v>
      </c>
    </row>
    <row r="536">
      <c r="A536" s="16" t="s">
        <v>662</v>
      </c>
      <c r="B536" s="30">
        <v>46044.000704687496</v>
      </c>
      <c r="D536" s="17">
        <v>0.0</v>
      </c>
    </row>
    <row r="537">
      <c r="A537" s="16" t="s">
        <v>663</v>
      </c>
      <c r="B537" s="30">
        <v>46044.000704687496</v>
      </c>
      <c r="D537" s="17">
        <v>0.0</v>
      </c>
    </row>
    <row r="538">
      <c r="A538" s="16" t="s">
        <v>664</v>
      </c>
      <c r="B538" s="30">
        <v>46044.000704687496</v>
      </c>
      <c r="D538" s="17">
        <v>0.0</v>
      </c>
    </row>
    <row r="539">
      <c r="A539" s="16" t="s">
        <v>665</v>
      </c>
      <c r="B539" s="30">
        <v>46044.000704687496</v>
      </c>
      <c r="D539" s="17">
        <v>0.0</v>
      </c>
    </row>
    <row r="540">
      <c r="A540" s="16" t="s">
        <v>666</v>
      </c>
      <c r="B540" s="30">
        <v>46044.000704687496</v>
      </c>
      <c r="D540" s="17">
        <v>0.0</v>
      </c>
    </row>
    <row r="541">
      <c r="A541" s="16" t="s">
        <v>667</v>
      </c>
      <c r="B541" s="30">
        <v>46044.000704687496</v>
      </c>
      <c r="D541" s="17">
        <v>0.0</v>
      </c>
    </row>
    <row r="542">
      <c r="A542" s="16" t="s">
        <v>668</v>
      </c>
      <c r="B542" s="30">
        <v>46044.000704687496</v>
      </c>
      <c r="D542" s="17">
        <v>0.0</v>
      </c>
    </row>
    <row r="543">
      <c r="A543" s="16" t="s">
        <v>669</v>
      </c>
      <c r="B543" s="30">
        <v>46044.000704687496</v>
      </c>
      <c r="D543" s="17">
        <v>0.0</v>
      </c>
    </row>
    <row r="544">
      <c r="A544" s="16" t="s">
        <v>670</v>
      </c>
      <c r="B544" s="30">
        <v>46044.000704687496</v>
      </c>
      <c r="D544" s="17">
        <v>0.0</v>
      </c>
    </row>
    <row r="545">
      <c r="A545" s="16" t="s">
        <v>671</v>
      </c>
      <c r="B545" s="30">
        <v>46044.000704687496</v>
      </c>
      <c r="D545" s="17">
        <v>0.0</v>
      </c>
    </row>
    <row r="546">
      <c r="A546" s="16" t="s">
        <v>672</v>
      </c>
      <c r="B546" s="30">
        <v>46044.000704687496</v>
      </c>
      <c r="D546" s="17">
        <v>0.0</v>
      </c>
    </row>
    <row r="547">
      <c r="A547" s="16" t="s">
        <v>673</v>
      </c>
      <c r="B547" s="30">
        <v>46044.00070472222</v>
      </c>
      <c r="D547" s="17">
        <v>0.0</v>
      </c>
    </row>
    <row r="548">
      <c r="A548" s="16" t="s">
        <v>674</v>
      </c>
      <c r="B548" s="30">
        <v>46044.00070472222</v>
      </c>
      <c r="D548" s="17">
        <v>0.0</v>
      </c>
    </row>
    <row r="549">
      <c r="A549" s="16" t="s">
        <v>675</v>
      </c>
      <c r="B549" s="30">
        <v>46044.00070472222</v>
      </c>
      <c r="D549" s="17">
        <v>0.0</v>
      </c>
    </row>
    <row r="550">
      <c r="A550" s="16" t="s">
        <v>676</v>
      </c>
      <c r="B550" s="30">
        <v>46044.00070472222</v>
      </c>
      <c r="D550" s="17">
        <v>0.0</v>
      </c>
    </row>
    <row r="551">
      <c r="A551" s="16" t="s">
        <v>677</v>
      </c>
      <c r="B551" s="30">
        <v>46044.00070472222</v>
      </c>
      <c r="D551" s="17">
        <v>0.0</v>
      </c>
    </row>
    <row r="552">
      <c r="A552" s="16" t="s">
        <v>678</v>
      </c>
      <c r="B552" s="30">
        <v>46044.00070472222</v>
      </c>
      <c r="D552" s="17">
        <v>0.0</v>
      </c>
    </row>
    <row r="553">
      <c r="A553" s="16" t="s">
        <v>679</v>
      </c>
      <c r="B553" s="30">
        <v>46044.00070472222</v>
      </c>
      <c r="D553" s="17">
        <v>0.0</v>
      </c>
    </row>
    <row r="554">
      <c r="A554" s="16" t="s">
        <v>680</v>
      </c>
      <c r="B554" s="30">
        <v>46044.00070472222</v>
      </c>
      <c r="D554" s="17">
        <v>0.0</v>
      </c>
    </row>
    <row r="555">
      <c r="A555" s="16" t="s">
        <v>681</v>
      </c>
      <c r="B555" s="30">
        <v>46044.00070472222</v>
      </c>
      <c r="D555" s="17">
        <v>0.0</v>
      </c>
    </row>
    <row r="556">
      <c r="A556" s="16" t="s">
        <v>682</v>
      </c>
      <c r="B556" s="30">
        <v>46044.00070472222</v>
      </c>
      <c r="D556" s="17">
        <v>0.0</v>
      </c>
    </row>
    <row r="557">
      <c r="A557" s="16" t="s">
        <v>683</v>
      </c>
      <c r="B557" s="30">
        <v>46044.00070472222</v>
      </c>
      <c r="D557" s="17">
        <v>0.0</v>
      </c>
    </row>
    <row r="558">
      <c r="A558" s="16" t="s">
        <v>684</v>
      </c>
      <c r="B558" s="30">
        <v>46044.00070472222</v>
      </c>
      <c r="D558" s="17">
        <v>0.0</v>
      </c>
    </row>
    <row r="559">
      <c r="A559" s="16" t="s">
        <v>685</v>
      </c>
      <c r="B559" s="30">
        <v>46044.00070472222</v>
      </c>
      <c r="D559" s="17">
        <v>0.0</v>
      </c>
    </row>
    <row r="560">
      <c r="A560" s="16" t="s">
        <v>686</v>
      </c>
      <c r="B560" s="30">
        <v>46044.00070472222</v>
      </c>
      <c r="D560" s="17">
        <v>0.0</v>
      </c>
    </row>
    <row r="561">
      <c r="A561" s="16" t="s">
        <v>687</v>
      </c>
      <c r="B561" s="30">
        <v>46044.00070472222</v>
      </c>
      <c r="D561" s="17">
        <v>0.0</v>
      </c>
    </row>
    <row r="562">
      <c r="A562" s="16" t="s">
        <v>688</v>
      </c>
      <c r="B562" s="30">
        <v>46044.00070472222</v>
      </c>
      <c r="D562" s="17">
        <v>0.0</v>
      </c>
    </row>
    <row r="563">
      <c r="A563" s="16" t="s">
        <v>689</v>
      </c>
      <c r="B563" s="30">
        <v>46044.00070472222</v>
      </c>
      <c r="D563" s="17">
        <v>0.0</v>
      </c>
    </row>
    <row r="564">
      <c r="A564" s="16" t="s">
        <v>690</v>
      </c>
      <c r="B564" s="30">
        <v>46044.00070472222</v>
      </c>
      <c r="D564" s="17">
        <v>0.0</v>
      </c>
    </row>
    <row r="565">
      <c r="A565" s="16" t="s">
        <v>691</v>
      </c>
      <c r="B565" s="30">
        <v>46044.00070472222</v>
      </c>
      <c r="D565" s="17">
        <v>0.0</v>
      </c>
    </row>
    <row r="566">
      <c r="A566" s="16" t="s">
        <v>692</v>
      </c>
      <c r="B566" s="30">
        <v>46044.00070472222</v>
      </c>
      <c r="D566" s="17">
        <v>0.0</v>
      </c>
    </row>
    <row r="567">
      <c r="A567" s="16" t="s">
        <v>693</v>
      </c>
      <c r="B567" s="30">
        <v>46044.00070472222</v>
      </c>
      <c r="D567" s="17">
        <v>0.0</v>
      </c>
    </row>
    <row r="568">
      <c r="A568" s="16" t="s">
        <v>694</v>
      </c>
      <c r="B568" s="30">
        <v>46044.00070472222</v>
      </c>
      <c r="D568" s="17">
        <v>0.0</v>
      </c>
    </row>
    <row r="569">
      <c r="A569" s="16" t="s">
        <v>695</v>
      </c>
      <c r="B569" s="30">
        <v>46044.00070472222</v>
      </c>
      <c r="D569" s="17">
        <v>0.0</v>
      </c>
    </row>
    <row r="570">
      <c r="A570" s="16" t="s">
        <v>696</v>
      </c>
      <c r="B570" s="30">
        <v>46044.00070472222</v>
      </c>
      <c r="D570" s="17">
        <v>0.0</v>
      </c>
    </row>
    <row r="571">
      <c r="A571" s="16" t="s">
        <v>697</v>
      </c>
      <c r="B571" s="30">
        <v>46044.00070472222</v>
      </c>
      <c r="D571" s="17">
        <v>0.0</v>
      </c>
    </row>
    <row r="572">
      <c r="A572" s="16" t="s">
        <v>698</v>
      </c>
      <c r="B572" s="30">
        <v>46044.00070472222</v>
      </c>
      <c r="D572" s="17">
        <v>0.0</v>
      </c>
    </row>
    <row r="573">
      <c r="A573" s="16" t="s">
        <v>699</v>
      </c>
      <c r="B573" s="30">
        <v>46044.0007047338</v>
      </c>
      <c r="D573" s="17">
        <v>0.0</v>
      </c>
    </row>
    <row r="574">
      <c r="A574" s="16" t="s">
        <v>700</v>
      </c>
      <c r="B574" s="30">
        <v>46044.0007047338</v>
      </c>
      <c r="D574" s="17">
        <v>0.0</v>
      </c>
    </row>
    <row r="575">
      <c r="A575" s="16" t="s">
        <v>701</v>
      </c>
      <c r="B575" s="30">
        <v>46044.0007047338</v>
      </c>
      <c r="D575" s="17">
        <v>0.0</v>
      </c>
    </row>
    <row r="576">
      <c r="A576" s="16" t="s">
        <v>702</v>
      </c>
      <c r="B576" s="30">
        <v>46044.0007047338</v>
      </c>
      <c r="D576" s="17">
        <v>0.0</v>
      </c>
    </row>
    <row r="577">
      <c r="A577" s="16" t="s">
        <v>703</v>
      </c>
      <c r="B577" s="30">
        <v>46044.0007047338</v>
      </c>
      <c r="D577" s="17">
        <v>0.0</v>
      </c>
    </row>
    <row r="578">
      <c r="A578" s="16" t="s">
        <v>704</v>
      </c>
      <c r="B578" s="30">
        <v>46044.0007047338</v>
      </c>
      <c r="D578" s="17">
        <v>0.0</v>
      </c>
    </row>
    <row r="579">
      <c r="A579" s="16" t="s">
        <v>705</v>
      </c>
      <c r="B579" s="30">
        <v>46044.0007047338</v>
      </c>
      <c r="D579" s="17">
        <v>0.0</v>
      </c>
    </row>
    <row r="580">
      <c r="A580" s="16" t="s">
        <v>706</v>
      </c>
      <c r="B580" s="30">
        <v>46044.0007047338</v>
      </c>
      <c r="D580" s="17">
        <v>0.0</v>
      </c>
    </row>
    <row r="581">
      <c r="A581" s="16" t="s">
        <v>707</v>
      </c>
      <c r="B581" s="30">
        <v>46044.0007047338</v>
      </c>
      <c r="D581" s="17">
        <v>0.0</v>
      </c>
    </row>
    <row r="582">
      <c r="A582" s="16" t="s">
        <v>708</v>
      </c>
      <c r="B582" s="30">
        <v>46044.0007047338</v>
      </c>
      <c r="D582" s="17">
        <v>0.0</v>
      </c>
    </row>
    <row r="583">
      <c r="A583" s="16" t="s">
        <v>709</v>
      </c>
      <c r="B583" s="30">
        <v>46044.0007047338</v>
      </c>
      <c r="D583" s="17">
        <v>0.0</v>
      </c>
    </row>
    <row r="584">
      <c r="A584" s="16" t="s">
        <v>710</v>
      </c>
      <c r="B584" s="30">
        <v>46044.0007047338</v>
      </c>
      <c r="D584" s="17">
        <v>0.0</v>
      </c>
    </row>
    <row r="585">
      <c r="A585" s="16" t="s">
        <v>711</v>
      </c>
      <c r="B585" s="30">
        <v>46044.0007047338</v>
      </c>
      <c r="D585" s="17">
        <v>0.0</v>
      </c>
    </row>
    <row r="586">
      <c r="A586" s="16" t="s">
        <v>712</v>
      </c>
      <c r="B586" s="30">
        <v>46044.0007047338</v>
      </c>
      <c r="D586" s="17">
        <v>0.0</v>
      </c>
    </row>
    <row r="587">
      <c r="A587" s="16" t="s">
        <v>713</v>
      </c>
      <c r="B587" s="30">
        <v>46044.0007047338</v>
      </c>
      <c r="D587" s="17">
        <v>0.0</v>
      </c>
    </row>
    <row r="588">
      <c r="A588" s="16" t="s">
        <v>714</v>
      </c>
      <c r="B588" s="30">
        <v>46044.0007047338</v>
      </c>
      <c r="D588" s="17">
        <v>0.0</v>
      </c>
    </row>
    <row r="589">
      <c r="A589" s="16" t="s">
        <v>715</v>
      </c>
      <c r="B589" s="30">
        <v>46044.0007047338</v>
      </c>
      <c r="D589" s="17">
        <v>0.0</v>
      </c>
    </row>
    <row r="590">
      <c r="A590" s="16" t="s">
        <v>716</v>
      </c>
      <c r="B590" s="30">
        <v>46044.0007047338</v>
      </c>
      <c r="D590" s="17">
        <v>0.0</v>
      </c>
    </row>
    <row r="591">
      <c r="A591" s="16" t="s">
        <v>717</v>
      </c>
      <c r="B591" s="30">
        <v>46044.0007047338</v>
      </c>
      <c r="D591" s="17">
        <v>0.0</v>
      </c>
    </row>
    <row r="592">
      <c r="A592" s="16" t="s">
        <v>718</v>
      </c>
      <c r="B592" s="30">
        <v>46044.0007047338</v>
      </c>
      <c r="D592" s="17">
        <v>0.0</v>
      </c>
    </row>
    <row r="593">
      <c r="A593" s="16" t="s">
        <v>719</v>
      </c>
      <c r="B593" s="30">
        <v>46044.0007047338</v>
      </c>
      <c r="D593" s="17">
        <v>0.0</v>
      </c>
    </row>
    <row r="594">
      <c r="A594" s="16" t="s">
        <v>720</v>
      </c>
      <c r="B594" s="30">
        <v>46044.0007047338</v>
      </c>
      <c r="D594" s="17">
        <v>0.0</v>
      </c>
    </row>
    <row r="595">
      <c r="A595" s="16" t="s">
        <v>721</v>
      </c>
      <c r="B595" s="30">
        <v>46044.0007047338</v>
      </c>
      <c r="D595" s="17">
        <v>0.0</v>
      </c>
    </row>
    <row r="596">
      <c r="A596" s="16" t="s">
        <v>722</v>
      </c>
      <c r="B596" s="30">
        <v>46044.0007047338</v>
      </c>
      <c r="D596" s="17">
        <v>0.0</v>
      </c>
    </row>
    <row r="597">
      <c r="A597" s="16" t="s">
        <v>723</v>
      </c>
      <c r="B597" s="30">
        <v>46044.0007047338</v>
      </c>
      <c r="D597" s="17">
        <v>0.0</v>
      </c>
    </row>
    <row r="598">
      <c r="A598" s="16" t="s">
        <v>724</v>
      </c>
      <c r="B598" s="30">
        <v>46044.0007047338</v>
      </c>
      <c r="D598" s="17">
        <v>0.0</v>
      </c>
    </row>
    <row r="599">
      <c r="A599" s="16" t="s">
        <v>725</v>
      </c>
      <c r="B599" s="30">
        <v>46044.0007047338</v>
      </c>
      <c r="D599" s="17">
        <v>0.0</v>
      </c>
    </row>
    <row r="600">
      <c r="A600" s="16" t="s">
        <v>726</v>
      </c>
      <c r="B600" s="30">
        <v>46044.0007047338</v>
      </c>
      <c r="D600" s="17">
        <v>0.0</v>
      </c>
    </row>
    <row r="601">
      <c r="A601" s="16" t="s">
        <v>727</v>
      </c>
      <c r="B601" s="30">
        <v>46044.0007047338</v>
      </c>
      <c r="D601" s="17">
        <v>0.0</v>
      </c>
    </row>
    <row r="602">
      <c r="A602" s="16" t="s">
        <v>728</v>
      </c>
      <c r="B602" s="30">
        <v>46044.0007047338</v>
      </c>
      <c r="D602" s="17">
        <v>0.0</v>
      </c>
    </row>
    <row r="603">
      <c r="A603" s="16" t="s">
        <v>729</v>
      </c>
      <c r="B603" s="30">
        <v>46044.0007047338</v>
      </c>
      <c r="D603" s="17">
        <v>0.0</v>
      </c>
    </row>
    <row r="604">
      <c r="A604" s="16" t="s">
        <v>730</v>
      </c>
      <c r="B604" s="30">
        <v>46044.0007047338</v>
      </c>
      <c r="D604" s="17">
        <v>0.0</v>
      </c>
    </row>
    <row r="605">
      <c r="A605" s="16" t="s">
        <v>731</v>
      </c>
      <c r="B605" s="30">
        <v>46044.0007047338</v>
      </c>
      <c r="D605" s="17">
        <v>0.0</v>
      </c>
    </row>
    <row r="606">
      <c r="A606" s="16" t="s">
        <v>732</v>
      </c>
      <c r="B606" s="30">
        <v>46044.0007047338</v>
      </c>
      <c r="D606" s="17">
        <v>0.0</v>
      </c>
    </row>
    <row r="607">
      <c r="A607" s="16" t="s">
        <v>733</v>
      </c>
      <c r="B607" s="30">
        <v>46044.0007047338</v>
      </c>
      <c r="D607" s="17">
        <v>0.0</v>
      </c>
    </row>
    <row r="608">
      <c r="A608" s="16" t="s">
        <v>734</v>
      </c>
      <c r="B608" s="30">
        <v>46044.0007047338</v>
      </c>
      <c r="D608" s="17">
        <v>0.0</v>
      </c>
    </row>
    <row r="609">
      <c r="A609" s="16" t="s">
        <v>735</v>
      </c>
      <c r="B609" s="30">
        <v>46044.0007047338</v>
      </c>
      <c r="D609" s="17">
        <v>0.0</v>
      </c>
    </row>
    <row r="610">
      <c r="A610" s="16" t="s">
        <v>736</v>
      </c>
      <c r="B610" s="30">
        <v>46044.0007047338</v>
      </c>
      <c r="D610" s="17">
        <v>0.0</v>
      </c>
    </row>
    <row r="611">
      <c r="A611" s="16" t="s">
        <v>737</v>
      </c>
      <c r="B611" s="30">
        <v>46044.0007047338</v>
      </c>
      <c r="D611" s="17">
        <v>0.0</v>
      </c>
    </row>
    <row r="612">
      <c r="A612" s="16" t="s">
        <v>738</v>
      </c>
      <c r="B612" s="30">
        <v>46044.0007047338</v>
      </c>
      <c r="D612" s="17">
        <v>0.0</v>
      </c>
    </row>
    <row r="613">
      <c r="A613" s="16" t="s">
        <v>739</v>
      </c>
      <c r="B613" s="30">
        <v>46044.0007047338</v>
      </c>
      <c r="D613" s="17">
        <v>0.0</v>
      </c>
    </row>
    <row r="614">
      <c r="A614" s="16" t="s">
        <v>740</v>
      </c>
      <c r="B614" s="30">
        <v>46044.0007047338</v>
      </c>
      <c r="D614" s="17">
        <v>0.0</v>
      </c>
    </row>
    <row r="615">
      <c r="A615" s="16" t="s">
        <v>741</v>
      </c>
      <c r="B615" s="30">
        <v>46044.0007047338</v>
      </c>
      <c r="D615" s="17">
        <v>0.0</v>
      </c>
    </row>
    <row r="616">
      <c r="A616" s="16" t="s">
        <v>742</v>
      </c>
      <c r="B616" s="30">
        <v>46044.0007047338</v>
      </c>
      <c r="D616" s="17">
        <v>0.0</v>
      </c>
    </row>
    <row r="617">
      <c r="A617" s="16" t="s">
        <v>743</v>
      </c>
      <c r="B617" s="30">
        <v>46044.0007047338</v>
      </c>
      <c r="D617" s="17">
        <v>0.0</v>
      </c>
    </row>
    <row r="618">
      <c r="A618" s="16" t="s">
        <v>744</v>
      </c>
      <c r="B618" s="30">
        <v>46044.0007047338</v>
      </c>
      <c r="D618" s="17">
        <v>0.0</v>
      </c>
    </row>
    <row r="619">
      <c r="A619" s="16" t="s">
        <v>745</v>
      </c>
      <c r="B619" s="30">
        <v>46044.0007047338</v>
      </c>
      <c r="D619" s="17">
        <v>0.0</v>
      </c>
    </row>
    <row r="620">
      <c r="A620" s="16" t="s">
        <v>746</v>
      </c>
      <c r="B620" s="30">
        <v>46044.0007047338</v>
      </c>
      <c r="D620" s="17">
        <v>0.0</v>
      </c>
    </row>
    <row r="621">
      <c r="A621" s="16" t="s">
        <v>747</v>
      </c>
      <c r="B621" s="30">
        <v>46044.0007047338</v>
      </c>
      <c r="D621" s="17">
        <v>0.0</v>
      </c>
    </row>
    <row r="622">
      <c r="A622" s="16" t="s">
        <v>748</v>
      </c>
      <c r="B622" s="30">
        <v>46044.0007047338</v>
      </c>
      <c r="D622" s="17">
        <v>0.0</v>
      </c>
    </row>
    <row r="623">
      <c r="A623" s="16" t="s">
        <v>749</v>
      </c>
      <c r="B623" s="30">
        <v>46044.0007047338</v>
      </c>
      <c r="D623" s="17">
        <v>0.0</v>
      </c>
    </row>
    <row r="624">
      <c r="A624" s="16" t="s">
        <v>750</v>
      </c>
      <c r="B624" s="30">
        <v>46044.0007047338</v>
      </c>
      <c r="D624" s="17">
        <v>0.0</v>
      </c>
    </row>
    <row r="625">
      <c r="A625" s="16" t="s">
        <v>751</v>
      </c>
      <c r="B625" s="30">
        <v>46044.0007047338</v>
      </c>
      <c r="D625" s="17">
        <v>0.0</v>
      </c>
    </row>
    <row r="626">
      <c r="A626" s="16" t="s">
        <v>752</v>
      </c>
      <c r="B626" s="30">
        <v>46044.0007047338</v>
      </c>
      <c r="D626" s="17">
        <v>0.0</v>
      </c>
    </row>
    <row r="627">
      <c r="A627" s="16" t="s">
        <v>753</v>
      </c>
      <c r="B627" s="30">
        <v>46044.0007047338</v>
      </c>
      <c r="D627" s="17">
        <v>0.0</v>
      </c>
    </row>
    <row r="628">
      <c r="A628" s="16" t="s">
        <v>754</v>
      </c>
      <c r="B628" s="30">
        <v>46044.0007047338</v>
      </c>
      <c r="D628" s="17">
        <v>0.0</v>
      </c>
    </row>
    <row r="629">
      <c r="A629" s="16" t="s">
        <v>755</v>
      </c>
      <c r="B629" s="30">
        <v>46044.0007047338</v>
      </c>
      <c r="D629" s="17">
        <v>0.0</v>
      </c>
    </row>
    <row r="630">
      <c r="A630" s="16" t="s">
        <v>756</v>
      </c>
      <c r="B630" s="30">
        <v>46044.0007047338</v>
      </c>
      <c r="D630" s="17">
        <v>0.0</v>
      </c>
    </row>
    <row r="631">
      <c r="A631" s="16" t="s">
        <v>757</v>
      </c>
      <c r="B631" s="30">
        <v>46044.0007047338</v>
      </c>
      <c r="D631" s="17">
        <v>0.0</v>
      </c>
    </row>
    <row r="632">
      <c r="A632" s="16" t="s">
        <v>758</v>
      </c>
      <c r="B632" s="30">
        <v>46044.0007047338</v>
      </c>
      <c r="D632" s="17">
        <v>0.0</v>
      </c>
    </row>
    <row r="633">
      <c r="A633" s="16" t="s">
        <v>759</v>
      </c>
      <c r="B633" s="30">
        <v>46044.0007047338</v>
      </c>
      <c r="D633" s="17">
        <v>0.0</v>
      </c>
    </row>
    <row r="634">
      <c r="A634" s="16" t="s">
        <v>760</v>
      </c>
      <c r="B634" s="30">
        <v>46044.0007047338</v>
      </c>
      <c r="D634" s="17">
        <v>0.0</v>
      </c>
    </row>
    <row r="635">
      <c r="A635" s="16" t="s">
        <v>761</v>
      </c>
      <c r="B635" s="30">
        <v>46044.0007047338</v>
      </c>
      <c r="D635" s="17">
        <v>0.0</v>
      </c>
    </row>
    <row r="636">
      <c r="A636" s="16" t="s">
        <v>762</v>
      </c>
      <c r="B636" s="30">
        <v>46044.0007047338</v>
      </c>
      <c r="D636" s="17">
        <v>0.0</v>
      </c>
    </row>
    <row r="637">
      <c r="A637" s="16" t="s">
        <v>763</v>
      </c>
      <c r="B637" s="30">
        <v>46044.0007047338</v>
      </c>
      <c r="D637" s="17">
        <v>0.0</v>
      </c>
    </row>
    <row r="638">
      <c r="A638" s="16" t="s">
        <v>764</v>
      </c>
      <c r="B638" s="30">
        <v>46044.0007047338</v>
      </c>
      <c r="D638" s="17">
        <v>0.0</v>
      </c>
    </row>
    <row r="639">
      <c r="A639" s="16" t="s">
        <v>765</v>
      </c>
      <c r="B639" s="30">
        <v>46044.0007047338</v>
      </c>
      <c r="D639" s="17">
        <v>0.0</v>
      </c>
    </row>
    <row r="640">
      <c r="A640" s="16" t="s">
        <v>766</v>
      </c>
      <c r="B640" s="30">
        <v>46044.0007047338</v>
      </c>
      <c r="D640" s="17">
        <v>0.0</v>
      </c>
    </row>
    <row r="641">
      <c r="A641" s="16" t="s">
        <v>767</v>
      </c>
      <c r="B641" s="30">
        <v>46044.0007047338</v>
      </c>
      <c r="D641" s="17">
        <v>0.0</v>
      </c>
    </row>
    <row r="642">
      <c r="A642" s="16" t="s">
        <v>768</v>
      </c>
      <c r="B642" s="30">
        <v>46044.0007047338</v>
      </c>
      <c r="D642" s="17">
        <v>0.0</v>
      </c>
    </row>
    <row r="643">
      <c r="A643" s="16" t="s">
        <v>769</v>
      </c>
      <c r="B643" s="30">
        <v>46044.0007047338</v>
      </c>
      <c r="D643" s="17">
        <v>0.0</v>
      </c>
    </row>
    <row r="644">
      <c r="A644" s="16" t="s">
        <v>770</v>
      </c>
      <c r="B644" s="30">
        <v>46044.0007047338</v>
      </c>
      <c r="D644" s="17">
        <v>0.0</v>
      </c>
    </row>
    <row r="645">
      <c r="A645" s="16" t="s">
        <v>771</v>
      </c>
      <c r="B645" s="30">
        <v>46044.0007047338</v>
      </c>
      <c r="D645" s="17">
        <v>0.0</v>
      </c>
    </row>
    <row r="646">
      <c r="A646" s="16" t="s">
        <v>772</v>
      </c>
      <c r="B646" s="30">
        <v>46044.0007047338</v>
      </c>
      <c r="D646" s="17">
        <v>0.0</v>
      </c>
    </row>
    <row r="647">
      <c r="A647" s="16" t="s">
        <v>773</v>
      </c>
      <c r="B647" s="30">
        <v>46044.0007047338</v>
      </c>
      <c r="D647" s="17">
        <v>0.0</v>
      </c>
    </row>
    <row r="648">
      <c r="A648" s="16" t="s">
        <v>774</v>
      </c>
      <c r="B648" s="30">
        <v>46044.0007047338</v>
      </c>
      <c r="D648" s="17">
        <v>0.0</v>
      </c>
    </row>
    <row r="649">
      <c r="A649" s="16" t="s">
        <v>775</v>
      </c>
      <c r="B649" s="30">
        <v>46044.0007047338</v>
      </c>
      <c r="D649" s="17">
        <v>0.0</v>
      </c>
    </row>
    <row r="650">
      <c r="A650" s="16" t="s">
        <v>776</v>
      </c>
      <c r="B650" s="30">
        <v>46044.0007047338</v>
      </c>
      <c r="D650" s="17">
        <v>0.0</v>
      </c>
    </row>
    <row r="651">
      <c r="A651" s="16" t="s">
        <v>777</v>
      </c>
      <c r="B651" s="30">
        <v>46044.0007047338</v>
      </c>
      <c r="D651" s="17">
        <v>0.0</v>
      </c>
    </row>
    <row r="652">
      <c r="A652" s="16" t="s">
        <v>778</v>
      </c>
      <c r="B652" s="30">
        <v>46044.0007047338</v>
      </c>
      <c r="D652" s="17">
        <v>0.0</v>
      </c>
    </row>
    <row r="653">
      <c r="A653" s="16" t="s">
        <v>779</v>
      </c>
      <c r="B653" s="30">
        <v>46044.0007047338</v>
      </c>
      <c r="D653" s="17">
        <v>0.0</v>
      </c>
    </row>
    <row r="654">
      <c r="A654" s="16" t="s">
        <v>780</v>
      </c>
      <c r="B654" s="30">
        <v>46044.0007047338</v>
      </c>
      <c r="D654" s="17">
        <v>0.0</v>
      </c>
    </row>
    <row r="655">
      <c r="A655" s="16" t="s">
        <v>781</v>
      </c>
      <c r="B655" s="30">
        <v>46044.0007047338</v>
      </c>
      <c r="D655" s="17">
        <v>0.0</v>
      </c>
    </row>
    <row r="656">
      <c r="A656" s="16" t="s">
        <v>782</v>
      </c>
      <c r="B656" s="30">
        <v>46044.0007047338</v>
      </c>
      <c r="D656" s="17">
        <v>0.0</v>
      </c>
    </row>
    <row r="657">
      <c r="A657" s="16" t="s">
        <v>783</v>
      </c>
      <c r="B657" s="30">
        <v>46044.0007047338</v>
      </c>
      <c r="D657" s="17">
        <v>0.0</v>
      </c>
    </row>
    <row r="658">
      <c r="A658" s="16" t="s">
        <v>784</v>
      </c>
      <c r="B658" s="30">
        <v>46044.0007047338</v>
      </c>
      <c r="D658" s="17">
        <v>0.0</v>
      </c>
    </row>
    <row r="659">
      <c r="A659" s="16" t="s">
        <v>785</v>
      </c>
      <c r="B659" s="30">
        <v>46044.0007047338</v>
      </c>
      <c r="D659" s="17">
        <v>0.0</v>
      </c>
    </row>
    <row r="660">
      <c r="A660" s="16" t="s">
        <v>786</v>
      </c>
      <c r="B660" s="30">
        <v>46044.0007047338</v>
      </c>
      <c r="D660" s="17">
        <v>0.0</v>
      </c>
    </row>
    <row r="661">
      <c r="A661" s="16" t="s">
        <v>787</v>
      </c>
      <c r="B661" s="30">
        <v>46044.0007047338</v>
      </c>
      <c r="D661" s="17">
        <v>0.0</v>
      </c>
    </row>
    <row r="662">
      <c r="A662" s="16" t="s">
        <v>788</v>
      </c>
      <c r="B662" s="30">
        <v>46044.0007047338</v>
      </c>
      <c r="D662" s="17">
        <v>0.0</v>
      </c>
    </row>
    <row r="663">
      <c r="A663" s="16" t="s">
        <v>789</v>
      </c>
      <c r="B663" s="30">
        <v>46044.0007047338</v>
      </c>
      <c r="D663" s="17">
        <v>0.0</v>
      </c>
    </row>
    <row r="664">
      <c r="A664" s="16" t="s">
        <v>790</v>
      </c>
      <c r="B664" s="30">
        <v>46044.0007047338</v>
      </c>
      <c r="D664" s="17">
        <v>0.0</v>
      </c>
    </row>
    <row r="665">
      <c r="A665" s="16" t="s">
        <v>791</v>
      </c>
      <c r="B665" s="30">
        <v>46044.0007047338</v>
      </c>
      <c r="D665" s="17">
        <v>0.0</v>
      </c>
    </row>
    <row r="666">
      <c r="A666" s="16" t="s">
        <v>792</v>
      </c>
      <c r="B666" s="30">
        <v>46044.0007047338</v>
      </c>
      <c r="D666" s="17">
        <v>0.0</v>
      </c>
    </row>
    <row r="667">
      <c r="A667" s="16" t="s">
        <v>793</v>
      </c>
      <c r="B667" s="30">
        <v>46044.0007047338</v>
      </c>
      <c r="D667" s="17">
        <v>0.0</v>
      </c>
    </row>
    <row r="668">
      <c r="A668" s="16" t="s">
        <v>794</v>
      </c>
      <c r="B668" s="30">
        <v>46044.0007047338</v>
      </c>
      <c r="D668" s="17">
        <v>0.0</v>
      </c>
    </row>
    <row r="669">
      <c r="A669" s="16" t="s">
        <v>795</v>
      </c>
      <c r="B669" s="30">
        <v>46044.0007047338</v>
      </c>
      <c r="D669" s="17">
        <v>0.0</v>
      </c>
    </row>
    <row r="670">
      <c r="A670" s="16" t="s">
        <v>796</v>
      </c>
      <c r="B670" s="30">
        <v>46044.0007047338</v>
      </c>
      <c r="D670" s="17">
        <v>0.0</v>
      </c>
    </row>
    <row r="671">
      <c r="A671" s="16" t="s">
        <v>797</v>
      </c>
      <c r="B671" s="30">
        <v>46044.0007047338</v>
      </c>
      <c r="D671" s="17">
        <v>0.0</v>
      </c>
    </row>
    <row r="672">
      <c r="A672" s="16" t="s">
        <v>798</v>
      </c>
      <c r="B672" s="30">
        <v>46044.0007047338</v>
      </c>
      <c r="D672" s="17">
        <v>0.0</v>
      </c>
    </row>
    <row r="673">
      <c r="A673" s="16" t="s">
        <v>799</v>
      </c>
      <c r="B673" s="30">
        <v>46044.0007047338</v>
      </c>
      <c r="D673" s="17">
        <v>0.0</v>
      </c>
    </row>
    <row r="674">
      <c r="A674" s="16" t="s">
        <v>800</v>
      </c>
      <c r="B674" s="30">
        <v>46044.0007047338</v>
      </c>
      <c r="D674" s="17">
        <v>0.0</v>
      </c>
    </row>
    <row r="675">
      <c r="A675" s="16" t="s">
        <v>801</v>
      </c>
      <c r="B675" s="30">
        <v>46044.0007047338</v>
      </c>
      <c r="D675" s="17">
        <v>0.0</v>
      </c>
    </row>
    <row r="676">
      <c r="A676" s="16" t="s">
        <v>802</v>
      </c>
      <c r="B676" s="30">
        <v>46044.0007047338</v>
      </c>
      <c r="D676" s="17">
        <v>0.0</v>
      </c>
    </row>
    <row r="677">
      <c r="A677" s="16" t="s">
        <v>803</v>
      </c>
      <c r="B677" s="30">
        <v>46044.0007047338</v>
      </c>
      <c r="D677" s="17">
        <v>0.0</v>
      </c>
    </row>
    <row r="678">
      <c r="A678" s="16" t="s">
        <v>804</v>
      </c>
      <c r="B678" s="30">
        <v>46044.0007047338</v>
      </c>
      <c r="D678" s="17">
        <v>0.0</v>
      </c>
    </row>
    <row r="679">
      <c r="A679" s="16" t="s">
        <v>805</v>
      </c>
      <c r="B679" s="30">
        <v>46044.0007047338</v>
      </c>
      <c r="D679" s="17">
        <v>0.0</v>
      </c>
    </row>
    <row r="680">
      <c r="A680" s="16" t="s">
        <v>806</v>
      </c>
      <c r="B680" s="30">
        <v>46044.0007047338</v>
      </c>
      <c r="D680" s="17">
        <v>0.0</v>
      </c>
    </row>
    <row r="681">
      <c r="A681" s="16" t="s">
        <v>807</v>
      </c>
      <c r="B681" s="30">
        <v>46044.0007047338</v>
      </c>
      <c r="D681" s="17">
        <v>0.0</v>
      </c>
    </row>
    <row r="682">
      <c r="A682" s="16" t="s">
        <v>808</v>
      </c>
      <c r="B682" s="30">
        <v>46044.0007047338</v>
      </c>
      <c r="D682" s="17">
        <v>0.0</v>
      </c>
    </row>
    <row r="683">
      <c r="A683" s="16" t="s">
        <v>809</v>
      </c>
      <c r="B683" s="30">
        <v>46044.0007047338</v>
      </c>
      <c r="D683" s="17">
        <v>0.0</v>
      </c>
    </row>
    <row r="684">
      <c r="A684" s="16" t="s">
        <v>810</v>
      </c>
      <c r="B684" s="30">
        <v>46044.0007047338</v>
      </c>
      <c r="D684" s="17">
        <v>0.0</v>
      </c>
    </row>
    <row r="685">
      <c r="A685" s="16" t="s">
        <v>811</v>
      </c>
      <c r="B685" s="30">
        <v>46044.0007047338</v>
      </c>
      <c r="D685" s="17">
        <v>0.0</v>
      </c>
    </row>
    <row r="686">
      <c r="A686" s="16" t="s">
        <v>812</v>
      </c>
      <c r="B686" s="30">
        <v>46044.0007047338</v>
      </c>
      <c r="D686" s="17">
        <v>0.0</v>
      </c>
    </row>
    <row r="687">
      <c r="A687" s="16" t="s">
        <v>813</v>
      </c>
      <c r="B687" s="30">
        <v>46044.0007047338</v>
      </c>
      <c r="D687" s="17">
        <v>0.0</v>
      </c>
    </row>
    <row r="688">
      <c r="A688" s="16" t="s">
        <v>814</v>
      </c>
      <c r="B688" s="30">
        <v>46044.0007047338</v>
      </c>
      <c r="D688" s="17">
        <v>0.0</v>
      </c>
    </row>
    <row r="689">
      <c r="A689" s="16" t="s">
        <v>815</v>
      </c>
      <c r="B689" s="30">
        <v>46044.0007047338</v>
      </c>
      <c r="D689" s="17">
        <v>0.0</v>
      </c>
    </row>
    <row r="690">
      <c r="A690" s="16" t="s">
        <v>816</v>
      </c>
      <c r="B690" s="30">
        <v>46044.0007047338</v>
      </c>
      <c r="D690" s="17">
        <v>0.0</v>
      </c>
    </row>
    <row r="691">
      <c r="A691" s="16" t="s">
        <v>817</v>
      </c>
      <c r="B691" s="30">
        <v>46044.0007047338</v>
      </c>
      <c r="D691" s="17">
        <v>0.0</v>
      </c>
    </row>
    <row r="692">
      <c r="A692" s="16" t="s">
        <v>818</v>
      </c>
      <c r="B692" s="30">
        <v>46044.0007047338</v>
      </c>
      <c r="D692" s="17">
        <v>0.0</v>
      </c>
    </row>
    <row r="693">
      <c r="A693" s="16" t="s">
        <v>819</v>
      </c>
      <c r="B693" s="30">
        <v>46044.0007047338</v>
      </c>
      <c r="D693" s="17">
        <v>0.0</v>
      </c>
    </row>
    <row r="694">
      <c r="A694" s="16" t="s">
        <v>820</v>
      </c>
      <c r="B694" s="30">
        <v>46044.0007047338</v>
      </c>
      <c r="D694" s="17">
        <v>0.0</v>
      </c>
    </row>
    <row r="695">
      <c r="A695" s="16" t="s">
        <v>821</v>
      </c>
      <c r="B695" s="30">
        <v>46044.0007047338</v>
      </c>
      <c r="D695" s="17">
        <v>0.0</v>
      </c>
    </row>
    <row r="696">
      <c r="A696" s="16" t="s">
        <v>822</v>
      </c>
      <c r="B696" s="30">
        <v>46044.0007047338</v>
      </c>
      <c r="D696" s="17">
        <v>0.0</v>
      </c>
    </row>
    <row r="697">
      <c r="A697" s="16" t="s">
        <v>823</v>
      </c>
      <c r="B697" s="30">
        <v>46044.0007047338</v>
      </c>
      <c r="D697" s="17">
        <v>0.0</v>
      </c>
    </row>
    <row r="698">
      <c r="A698" s="16" t="s">
        <v>824</v>
      </c>
      <c r="B698" s="30">
        <v>46044.0007047338</v>
      </c>
      <c r="D698" s="17">
        <v>0.0</v>
      </c>
    </row>
    <row r="699">
      <c r="A699" s="16" t="s">
        <v>825</v>
      </c>
      <c r="B699" s="30">
        <v>46044.0007047338</v>
      </c>
      <c r="D699" s="17">
        <v>0.0</v>
      </c>
    </row>
    <row r="700">
      <c r="A700" s="16" t="s">
        <v>826</v>
      </c>
      <c r="B700" s="30">
        <v>46044.0007047338</v>
      </c>
      <c r="D700" s="17">
        <v>0.0</v>
      </c>
    </row>
    <row r="701">
      <c r="A701" s="16" t="s">
        <v>827</v>
      </c>
      <c r="B701" s="30">
        <v>46044.0007047338</v>
      </c>
      <c r="D701" s="17">
        <v>0.0</v>
      </c>
    </row>
    <row r="702">
      <c r="A702" s="16" t="s">
        <v>828</v>
      </c>
      <c r="B702" s="30">
        <v>46044.0007047338</v>
      </c>
      <c r="D702" s="17">
        <v>0.0</v>
      </c>
    </row>
    <row r="703">
      <c r="A703" s="16" t="s">
        <v>829</v>
      </c>
      <c r="B703" s="30">
        <v>46044.0007047338</v>
      </c>
      <c r="D703" s="17">
        <v>0.0</v>
      </c>
    </row>
    <row r="704">
      <c r="A704" s="16" t="s">
        <v>830</v>
      </c>
      <c r="B704" s="30">
        <v>46044.0007047338</v>
      </c>
      <c r="D704" s="17">
        <v>0.0</v>
      </c>
    </row>
    <row r="705">
      <c r="A705" s="16" t="s">
        <v>831</v>
      </c>
      <c r="B705" s="30">
        <v>46044.0007047338</v>
      </c>
      <c r="D705" s="17">
        <v>0.0</v>
      </c>
    </row>
    <row r="706">
      <c r="A706" s="16" t="s">
        <v>832</v>
      </c>
      <c r="B706" s="30">
        <v>46044.0007047338</v>
      </c>
      <c r="D706" s="17">
        <v>0.0</v>
      </c>
    </row>
    <row r="707">
      <c r="A707" s="16" t="s">
        <v>833</v>
      </c>
      <c r="B707" s="30">
        <v>46044.0007047338</v>
      </c>
      <c r="D707" s="17">
        <v>0.0</v>
      </c>
    </row>
    <row r="708">
      <c r="A708" s="16" t="s">
        <v>834</v>
      </c>
      <c r="B708" s="30">
        <v>46044.0007047338</v>
      </c>
      <c r="D708" s="17">
        <v>0.0</v>
      </c>
    </row>
    <row r="709">
      <c r="A709" s="16" t="s">
        <v>835</v>
      </c>
      <c r="B709" s="30">
        <v>46044.0007047338</v>
      </c>
      <c r="D709" s="17">
        <v>0.0</v>
      </c>
    </row>
    <row r="710">
      <c r="A710" s="16" t="s">
        <v>836</v>
      </c>
      <c r="B710" s="30">
        <v>46044.0007047338</v>
      </c>
      <c r="D710" s="17">
        <v>0.0</v>
      </c>
    </row>
    <row r="711">
      <c r="A711" s="16" t="s">
        <v>837</v>
      </c>
      <c r="B711" s="30">
        <v>46044.0007047338</v>
      </c>
      <c r="D711" s="17">
        <v>0.0</v>
      </c>
    </row>
    <row r="712">
      <c r="A712" s="16" t="s">
        <v>838</v>
      </c>
      <c r="B712" s="30">
        <v>46044.0007047338</v>
      </c>
      <c r="D712" s="17">
        <v>0.0</v>
      </c>
    </row>
    <row r="713">
      <c r="A713" s="16" t="s">
        <v>839</v>
      </c>
      <c r="B713" s="30">
        <v>46044.0007047338</v>
      </c>
      <c r="D713" s="17">
        <v>0.0</v>
      </c>
    </row>
    <row r="714">
      <c r="A714" s="16" t="s">
        <v>840</v>
      </c>
      <c r="B714" s="30">
        <v>46044.0007047338</v>
      </c>
      <c r="D714" s="17">
        <v>0.0</v>
      </c>
    </row>
    <row r="715">
      <c r="A715" s="16" t="s">
        <v>841</v>
      </c>
      <c r="B715" s="30">
        <v>46044.0007047338</v>
      </c>
      <c r="D715" s="17">
        <v>0.0</v>
      </c>
    </row>
    <row r="716">
      <c r="A716" s="16" t="s">
        <v>842</v>
      </c>
      <c r="B716" s="30">
        <v>46044.0007047338</v>
      </c>
      <c r="D716" s="17">
        <v>0.0</v>
      </c>
    </row>
    <row r="717">
      <c r="A717" s="16" t="s">
        <v>843</v>
      </c>
      <c r="B717" s="30">
        <v>46044.0007047338</v>
      </c>
      <c r="D717" s="17">
        <v>0.0</v>
      </c>
    </row>
    <row r="718">
      <c r="A718" s="16" t="s">
        <v>844</v>
      </c>
      <c r="B718" s="30">
        <v>46044.0007047338</v>
      </c>
      <c r="D718" s="17">
        <v>0.0</v>
      </c>
    </row>
    <row r="719">
      <c r="A719" s="16" t="s">
        <v>845</v>
      </c>
      <c r="B719" s="30">
        <v>46044.0007047338</v>
      </c>
      <c r="D719" s="17">
        <v>0.0</v>
      </c>
    </row>
    <row r="720">
      <c r="A720" s="16" t="s">
        <v>846</v>
      </c>
      <c r="B720" s="30">
        <v>46044.0007047338</v>
      </c>
      <c r="D720" s="17">
        <v>0.0</v>
      </c>
    </row>
    <row r="721">
      <c r="A721" s="16" t="s">
        <v>847</v>
      </c>
      <c r="B721" s="30">
        <v>46044.0007047338</v>
      </c>
      <c r="D721" s="17">
        <v>0.0</v>
      </c>
    </row>
    <row r="722">
      <c r="A722" s="16" t="s">
        <v>848</v>
      </c>
      <c r="B722" s="30">
        <v>46044.0007047338</v>
      </c>
      <c r="D722" s="17">
        <v>0.0</v>
      </c>
    </row>
    <row r="723">
      <c r="A723" s="16" t="s">
        <v>849</v>
      </c>
      <c r="B723" s="30">
        <v>46044.0007047338</v>
      </c>
      <c r="D723" s="17">
        <v>0.0</v>
      </c>
    </row>
    <row r="724">
      <c r="A724" s="16" t="s">
        <v>850</v>
      </c>
      <c r="B724" s="30">
        <v>46044.0007047338</v>
      </c>
      <c r="D724" s="17">
        <v>0.0</v>
      </c>
    </row>
    <row r="725">
      <c r="A725" s="16" t="s">
        <v>851</v>
      </c>
      <c r="B725" s="30">
        <v>46044.0007047338</v>
      </c>
      <c r="D725" s="17">
        <v>0.0</v>
      </c>
    </row>
    <row r="726">
      <c r="A726" s="16" t="s">
        <v>852</v>
      </c>
      <c r="B726" s="30">
        <v>46044.0007047338</v>
      </c>
      <c r="D726" s="17">
        <v>0.0</v>
      </c>
    </row>
    <row r="727">
      <c r="A727" s="16" t="s">
        <v>853</v>
      </c>
      <c r="B727" s="30">
        <v>46044.0007047338</v>
      </c>
      <c r="D727" s="17">
        <v>0.0</v>
      </c>
    </row>
    <row r="728">
      <c r="A728" s="16" t="s">
        <v>854</v>
      </c>
      <c r="B728" s="30">
        <v>46044.0007047338</v>
      </c>
      <c r="D728" s="17">
        <v>0.0</v>
      </c>
    </row>
    <row r="729">
      <c r="A729" s="16" t="s">
        <v>855</v>
      </c>
      <c r="B729" s="30">
        <v>46044.0007047338</v>
      </c>
      <c r="D729" s="17">
        <v>0.0</v>
      </c>
    </row>
    <row r="730">
      <c r="A730" s="16" t="s">
        <v>856</v>
      </c>
      <c r="B730" s="30">
        <v>46044.0007047338</v>
      </c>
      <c r="D730" s="17">
        <v>0.0</v>
      </c>
    </row>
    <row r="731">
      <c r="A731" s="16" t="s">
        <v>857</v>
      </c>
      <c r="B731" s="30">
        <v>46044.0007047338</v>
      </c>
      <c r="D731" s="17">
        <v>0.0</v>
      </c>
    </row>
    <row r="732">
      <c r="A732" s="16" t="s">
        <v>858</v>
      </c>
      <c r="B732" s="30">
        <v>46044.0007047338</v>
      </c>
      <c r="D732" s="17">
        <v>0.0</v>
      </c>
    </row>
    <row r="733">
      <c r="A733" s="16" t="s">
        <v>859</v>
      </c>
      <c r="B733" s="30">
        <v>46044.0007047338</v>
      </c>
      <c r="D733" s="17">
        <v>0.0</v>
      </c>
    </row>
    <row r="734">
      <c r="A734" s="16" t="s">
        <v>860</v>
      </c>
      <c r="B734" s="30">
        <v>46044.0007047338</v>
      </c>
      <c r="D734" s="17">
        <v>0.0</v>
      </c>
    </row>
    <row r="735">
      <c r="A735" s="16" t="s">
        <v>861</v>
      </c>
      <c r="B735" s="30">
        <v>46044.0007047338</v>
      </c>
      <c r="D735" s="17">
        <v>0.0</v>
      </c>
    </row>
    <row r="736">
      <c r="A736" s="16" t="s">
        <v>862</v>
      </c>
      <c r="B736" s="30">
        <v>46044.0007047338</v>
      </c>
      <c r="D736" s="17">
        <v>0.0</v>
      </c>
    </row>
    <row r="737">
      <c r="A737" s="16" t="s">
        <v>863</v>
      </c>
      <c r="B737" s="30">
        <v>46044.0007047338</v>
      </c>
      <c r="D737" s="17">
        <v>0.0</v>
      </c>
    </row>
    <row r="738">
      <c r="A738" s="16" t="s">
        <v>864</v>
      </c>
      <c r="B738" s="30">
        <v>46044.0007047338</v>
      </c>
      <c r="D738" s="17">
        <v>0.0</v>
      </c>
    </row>
    <row r="739">
      <c r="A739" s="16" t="s">
        <v>865</v>
      </c>
      <c r="B739" s="30">
        <v>46044.0007047338</v>
      </c>
      <c r="D739" s="17">
        <v>0.0</v>
      </c>
    </row>
    <row r="740">
      <c r="A740" s="16" t="s">
        <v>866</v>
      </c>
      <c r="B740" s="30">
        <v>46044.0007047338</v>
      </c>
      <c r="D740" s="17">
        <v>0.0</v>
      </c>
    </row>
    <row r="741">
      <c r="A741" s="16" t="s">
        <v>867</v>
      </c>
      <c r="B741" s="30">
        <v>46044.0007047338</v>
      </c>
      <c r="D741" s="17">
        <v>0.0</v>
      </c>
    </row>
    <row r="742">
      <c r="A742" s="16" t="s">
        <v>868</v>
      </c>
      <c r="B742" s="30">
        <v>46044.0007047338</v>
      </c>
      <c r="D742" s="17">
        <v>0.0</v>
      </c>
    </row>
    <row r="743">
      <c r="A743" s="16" t="s">
        <v>869</v>
      </c>
      <c r="B743" s="30">
        <v>46044.0007047338</v>
      </c>
      <c r="D743" s="17">
        <v>0.0</v>
      </c>
    </row>
    <row r="744">
      <c r="A744" s="16" t="s">
        <v>870</v>
      </c>
      <c r="B744" s="30">
        <v>46044.0007047338</v>
      </c>
      <c r="D744" s="17">
        <v>0.0</v>
      </c>
    </row>
    <row r="745">
      <c r="A745" s="16" t="s">
        <v>871</v>
      </c>
      <c r="B745" s="30">
        <v>46044.0007047338</v>
      </c>
      <c r="D745" s="17">
        <v>0.0</v>
      </c>
    </row>
    <row r="746">
      <c r="A746" s="16" t="s">
        <v>872</v>
      </c>
      <c r="B746" s="30">
        <v>46044.0007047338</v>
      </c>
      <c r="D746" s="17">
        <v>0.0</v>
      </c>
    </row>
    <row r="747">
      <c r="A747" s="16" t="s">
        <v>873</v>
      </c>
      <c r="B747" s="30">
        <v>46044.0007047338</v>
      </c>
      <c r="D747" s="17">
        <v>0.0</v>
      </c>
    </row>
    <row r="748">
      <c r="A748" s="16" t="s">
        <v>874</v>
      </c>
      <c r="B748" s="30">
        <v>46044.0007047338</v>
      </c>
      <c r="D748" s="17">
        <v>0.0</v>
      </c>
    </row>
    <row r="749">
      <c r="A749" s="16" t="s">
        <v>875</v>
      </c>
      <c r="B749" s="30">
        <v>46044.0007047338</v>
      </c>
      <c r="D749" s="17">
        <v>0.0</v>
      </c>
    </row>
    <row r="750">
      <c r="A750" s="16" t="s">
        <v>876</v>
      </c>
      <c r="B750" s="30">
        <v>46044.0007047338</v>
      </c>
      <c r="D750" s="17">
        <v>0.0</v>
      </c>
    </row>
    <row r="751">
      <c r="A751" s="16" t="s">
        <v>877</v>
      </c>
      <c r="B751" s="30">
        <v>46044.0007047338</v>
      </c>
      <c r="D751" s="17">
        <v>0.0</v>
      </c>
    </row>
    <row r="752">
      <c r="A752" s="16" t="s">
        <v>878</v>
      </c>
      <c r="B752" s="30">
        <v>46044.0007047338</v>
      </c>
      <c r="D752" s="17">
        <v>0.0</v>
      </c>
    </row>
    <row r="753">
      <c r="A753" s="16" t="s">
        <v>879</v>
      </c>
      <c r="B753" s="30">
        <v>46044.0007047338</v>
      </c>
      <c r="D753" s="17">
        <v>0.0</v>
      </c>
    </row>
    <row r="754">
      <c r="A754" s="16" t="s">
        <v>880</v>
      </c>
      <c r="B754" s="30">
        <v>46044.0007047338</v>
      </c>
      <c r="D754" s="17">
        <v>0.0</v>
      </c>
    </row>
    <row r="755">
      <c r="A755" s="16" t="s">
        <v>881</v>
      </c>
      <c r="B755" s="30">
        <v>46044.0007047338</v>
      </c>
      <c r="D755" s="17">
        <v>0.0</v>
      </c>
    </row>
    <row r="756">
      <c r="A756" s="16" t="s">
        <v>882</v>
      </c>
      <c r="B756" s="30">
        <v>46044.0007047338</v>
      </c>
      <c r="D756" s="17">
        <v>0.0</v>
      </c>
    </row>
    <row r="757">
      <c r="A757" s="16" t="s">
        <v>883</v>
      </c>
      <c r="B757" s="30">
        <v>46044.0007047338</v>
      </c>
      <c r="D757" s="17">
        <v>0.0</v>
      </c>
    </row>
    <row r="758">
      <c r="A758" s="16" t="s">
        <v>884</v>
      </c>
      <c r="B758" s="30">
        <v>46044.0007047338</v>
      </c>
      <c r="D758" s="17">
        <v>0.0</v>
      </c>
    </row>
    <row r="759">
      <c r="A759" s="16" t="s">
        <v>885</v>
      </c>
      <c r="B759" s="30">
        <v>46044.0007047338</v>
      </c>
      <c r="D759" s="17">
        <v>0.0</v>
      </c>
    </row>
    <row r="760">
      <c r="A760" s="16" t="s">
        <v>886</v>
      </c>
      <c r="B760" s="30">
        <v>46044.0007047338</v>
      </c>
      <c r="D760" s="17">
        <v>0.0</v>
      </c>
    </row>
    <row r="761">
      <c r="A761" s="16" t="s">
        <v>887</v>
      </c>
      <c r="B761" s="30">
        <v>46044.0007047338</v>
      </c>
      <c r="D761" s="17">
        <v>0.0</v>
      </c>
    </row>
    <row r="762">
      <c r="A762" s="16" t="s">
        <v>888</v>
      </c>
      <c r="B762" s="30">
        <v>46044.0007047338</v>
      </c>
      <c r="D762" s="17">
        <v>0.0</v>
      </c>
    </row>
    <row r="763">
      <c r="A763" s="16" t="s">
        <v>889</v>
      </c>
      <c r="B763" s="30">
        <v>46044.0007047338</v>
      </c>
      <c r="D763" s="17">
        <v>0.0</v>
      </c>
    </row>
    <row r="764">
      <c r="A764" s="16" t="s">
        <v>890</v>
      </c>
      <c r="B764" s="30">
        <v>46044.0007047338</v>
      </c>
      <c r="D764" s="17">
        <v>0.0</v>
      </c>
    </row>
    <row r="765">
      <c r="A765" s="16" t="s">
        <v>891</v>
      </c>
      <c r="B765" s="30">
        <v>46044.0007047338</v>
      </c>
      <c r="D765" s="17">
        <v>0.0</v>
      </c>
    </row>
    <row r="766">
      <c r="A766" s="16" t="s">
        <v>892</v>
      </c>
      <c r="B766" s="30">
        <v>46044.0007047338</v>
      </c>
      <c r="D766" s="17">
        <v>0.0</v>
      </c>
    </row>
    <row r="767">
      <c r="A767" s="16" t="s">
        <v>893</v>
      </c>
      <c r="B767" s="30">
        <v>46044.0007047338</v>
      </c>
      <c r="D767" s="17">
        <v>0.0</v>
      </c>
    </row>
    <row r="768">
      <c r="A768" s="16" t="s">
        <v>894</v>
      </c>
      <c r="B768" s="30">
        <v>46044.0007047338</v>
      </c>
      <c r="D768" s="17">
        <v>0.0</v>
      </c>
    </row>
    <row r="769">
      <c r="A769" s="16" t="s">
        <v>895</v>
      </c>
      <c r="B769" s="30">
        <v>46044.0007047338</v>
      </c>
      <c r="D769" s="17">
        <v>0.0</v>
      </c>
    </row>
    <row r="770">
      <c r="A770" s="16" t="s">
        <v>896</v>
      </c>
      <c r="B770" s="30">
        <v>46044.0007047338</v>
      </c>
      <c r="D770" s="17">
        <v>0.0</v>
      </c>
    </row>
    <row r="771">
      <c r="A771" s="16" t="s">
        <v>897</v>
      </c>
      <c r="B771" s="30">
        <v>46044.0007047338</v>
      </c>
      <c r="D771" s="17">
        <v>0.0</v>
      </c>
    </row>
    <row r="772">
      <c r="A772" s="16" t="s">
        <v>898</v>
      </c>
      <c r="B772" s="30">
        <v>46044.0007047338</v>
      </c>
      <c r="D772" s="17">
        <v>0.0</v>
      </c>
    </row>
    <row r="773">
      <c r="A773" s="16" t="s">
        <v>899</v>
      </c>
      <c r="B773" s="30">
        <v>46044.0007047338</v>
      </c>
      <c r="D773" s="17">
        <v>0.0</v>
      </c>
    </row>
    <row r="774">
      <c r="A774" s="16" t="s">
        <v>900</v>
      </c>
      <c r="B774" s="30">
        <v>46044.0007047338</v>
      </c>
      <c r="D774" s="17">
        <v>0.0</v>
      </c>
    </row>
    <row r="775">
      <c r="A775" s="16" t="s">
        <v>901</v>
      </c>
      <c r="B775" s="30">
        <v>46044.0007047338</v>
      </c>
      <c r="D775" s="17">
        <v>0.0</v>
      </c>
    </row>
    <row r="776">
      <c r="A776" s="16" t="s">
        <v>902</v>
      </c>
      <c r="B776" s="30">
        <v>46044.0007047338</v>
      </c>
      <c r="D776" s="17">
        <v>0.0</v>
      </c>
    </row>
    <row r="777">
      <c r="A777" s="16" t="s">
        <v>903</v>
      </c>
      <c r="B777" s="30">
        <v>46044.0007047338</v>
      </c>
      <c r="D777" s="17">
        <v>0.0</v>
      </c>
    </row>
    <row r="778">
      <c r="A778" s="16" t="s">
        <v>904</v>
      </c>
      <c r="B778" s="30">
        <v>46044.0007047338</v>
      </c>
      <c r="D778" s="17">
        <v>0.0</v>
      </c>
    </row>
    <row r="779">
      <c r="A779" s="16" t="s">
        <v>905</v>
      </c>
      <c r="B779" s="30">
        <v>46044.0007047338</v>
      </c>
      <c r="D779" s="17">
        <v>0.0</v>
      </c>
    </row>
    <row r="780">
      <c r="A780" s="16" t="s">
        <v>906</v>
      </c>
      <c r="B780" s="30">
        <v>46044.0007047338</v>
      </c>
      <c r="D780" s="17">
        <v>0.0</v>
      </c>
    </row>
    <row r="781">
      <c r="A781" s="16" t="s">
        <v>907</v>
      </c>
      <c r="B781" s="30">
        <v>46044.0007047338</v>
      </c>
      <c r="D781" s="17">
        <v>0.0</v>
      </c>
    </row>
    <row r="782">
      <c r="A782" s="16" t="s">
        <v>908</v>
      </c>
      <c r="B782" s="30">
        <v>46044.0007047338</v>
      </c>
      <c r="D782" s="17">
        <v>0.0</v>
      </c>
    </row>
    <row r="783">
      <c r="A783" s="16" t="s">
        <v>909</v>
      </c>
      <c r="B783" s="30">
        <v>46044.0007047338</v>
      </c>
      <c r="D783" s="17">
        <v>0.0</v>
      </c>
    </row>
    <row r="784">
      <c r="A784" s="16" t="s">
        <v>910</v>
      </c>
      <c r="B784" s="30">
        <v>46044.0007047338</v>
      </c>
      <c r="D784" s="17">
        <v>0.0</v>
      </c>
    </row>
    <row r="785">
      <c r="A785" s="16" t="s">
        <v>911</v>
      </c>
      <c r="B785" s="30">
        <v>46044.0007047338</v>
      </c>
      <c r="D785" s="17">
        <v>0.0</v>
      </c>
    </row>
    <row r="786">
      <c r="A786" s="16" t="s">
        <v>912</v>
      </c>
      <c r="B786" s="30">
        <v>46044.0007047338</v>
      </c>
      <c r="D786" s="17">
        <v>0.0</v>
      </c>
    </row>
    <row r="787">
      <c r="A787" s="16" t="s">
        <v>913</v>
      </c>
      <c r="B787" s="30">
        <v>46044.0007047338</v>
      </c>
      <c r="D787" s="17">
        <v>0.0</v>
      </c>
    </row>
    <row r="788">
      <c r="A788" s="16" t="s">
        <v>914</v>
      </c>
      <c r="B788" s="30">
        <v>46044.0007047338</v>
      </c>
      <c r="D788" s="17">
        <v>0.0</v>
      </c>
    </row>
    <row r="789">
      <c r="A789" s="16" t="s">
        <v>915</v>
      </c>
      <c r="B789" s="30">
        <v>46044.0007047338</v>
      </c>
      <c r="D789" s="17">
        <v>0.0</v>
      </c>
    </row>
    <row r="790">
      <c r="A790" s="16" t="s">
        <v>916</v>
      </c>
      <c r="B790" s="30">
        <v>46044.0007047338</v>
      </c>
      <c r="D790" s="17">
        <v>0.0</v>
      </c>
    </row>
    <row r="791">
      <c r="A791" s="16" t="s">
        <v>917</v>
      </c>
      <c r="B791" s="30">
        <v>46044.0007047338</v>
      </c>
      <c r="D791" s="17">
        <v>0.0</v>
      </c>
    </row>
    <row r="792">
      <c r="A792" s="16" t="s">
        <v>918</v>
      </c>
      <c r="B792" s="30">
        <v>46044.0007047338</v>
      </c>
      <c r="D792" s="17">
        <v>0.0</v>
      </c>
    </row>
    <row r="793">
      <c r="A793" s="16" t="s">
        <v>919</v>
      </c>
      <c r="B793" s="30">
        <v>46044.0007047338</v>
      </c>
      <c r="D793" s="17">
        <v>0.0</v>
      </c>
    </row>
    <row r="794">
      <c r="A794" s="16" t="s">
        <v>920</v>
      </c>
      <c r="B794" s="30">
        <v>46044.00070474537</v>
      </c>
      <c r="D794" s="17">
        <v>0.0</v>
      </c>
    </row>
    <row r="795">
      <c r="A795" s="16" t="s">
        <v>921</v>
      </c>
      <c r="B795" s="30">
        <v>46044.00070474537</v>
      </c>
      <c r="D795" s="17">
        <v>0.0</v>
      </c>
    </row>
    <row r="796">
      <c r="A796" s="16" t="s">
        <v>922</v>
      </c>
      <c r="B796" s="30">
        <v>46044.00070474537</v>
      </c>
      <c r="D796" s="17">
        <v>0.0</v>
      </c>
    </row>
    <row r="797">
      <c r="A797" s="16" t="s">
        <v>923</v>
      </c>
      <c r="B797" s="30">
        <v>46044.00070474537</v>
      </c>
      <c r="D797" s="17">
        <v>0.0</v>
      </c>
    </row>
    <row r="798">
      <c r="A798" s="16" t="s">
        <v>924</v>
      </c>
      <c r="B798" s="30">
        <v>46044.00070474537</v>
      </c>
      <c r="D798" s="17">
        <v>0.0</v>
      </c>
    </row>
    <row r="799">
      <c r="A799" s="16" t="s">
        <v>925</v>
      </c>
      <c r="B799" s="30">
        <v>46044.00070474537</v>
      </c>
      <c r="D799" s="17">
        <v>0.0</v>
      </c>
    </row>
    <row r="800">
      <c r="A800" s="16" t="s">
        <v>926</v>
      </c>
      <c r="B800" s="30">
        <v>46044.00070474537</v>
      </c>
      <c r="D800" s="17">
        <v>0.0</v>
      </c>
    </row>
    <row r="801">
      <c r="A801" s="16" t="s">
        <v>927</v>
      </c>
      <c r="B801" s="30">
        <v>46044.00070474537</v>
      </c>
      <c r="D801" s="17">
        <v>0.0</v>
      </c>
    </row>
    <row r="802">
      <c r="A802" s="16" t="s">
        <v>928</v>
      </c>
      <c r="B802" s="30">
        <v>46044.00070474537</v>
      </c>
      <c r="D802" s="17">
        <v>0.0</v>
      </c>
    </row>
    <row r="803">
      <c r="A803" s="16" t="s">
        <v>929</v>
      </c>
      <c r="B803" s="30">
        <v>46044.00070474537</v>
      </c>
      <c r="D803" s="17">
        <v>0.0</v>
      </c>
    </row>
    <row r="804">
      <c r="A804" s="16" t="s">
        <v>930</v>
      </c>
      <c r="B804" s="30">
        <v>46044.00070474537</v>
      </c>
      <c r="D804" s="17">
        <v>0.0</v>
      </c>
    </row>
    <row r="805">
      <c r="A805" s="16" t="s">
        <v>931</v>
      </c>
      <c r="B805" s="30">
        <v>46044.00070474537</v>
      </c>
      <c r="D805" s="17">
        <v>0.0</v>
      </c>
    </row>
    <row r="806">
      <c r="A806" s="16" t="s">
        <v>932</v>
      </c>
      <c r="B806" s="30">
        <v>46044.00070474537</v>
      </c>
      <c r="D806" s="17">
        <v>0.0</v>
      </c>
    </row>
    <row r="807">
      <c r="A807" s="16" t="s">
        <v>933</v>
      </c>
      <c r="B807" s="30">
        <v>46044.00070474537</v>
      </c>
      <c r="D807" s="17">
        <v>0.0</v>
      </c>
    </row>
    <row r="808">
      <c r="A808" s="16" t="s">
        <v>934</v>
      </c>
      <c r="B808" s="30">
        <v>46044.00070474537</v>
      </c>
      <c r="D808" s="17">
        <v>0.0</v>
      </c>
    </row>
    <row r="809">
      <c r="A809" s="16" t="s">
        <v>935</v>
      </c>
      <c r="B809" s="30">
        <v>46044.00070474537</v>
      </c>
      <c r="D809" s="17">
        <v>0.0</v>
      </c>
    </row>
    <row r="810">
      <c r="A810" s="16" t="s">
        <v>936</v>
      </c>
      <c r="B810" s="30">
        <v>46044.00070474537</v>
      </c>
      <c r="D810" s="17">
        <v>0.0</v>
      </c>
    </row>
    <row r="811">
      <c r="A811" s="16" t="s">
        <v>937</v>
      </c>
      <c r="B811" s="30">
        <v>46044.00070474537</v>
      </c>
      <c r="D811" s="17">
        <v>0.0</v>
      </c>
    </row>
    <row r="812">
      <c r="A812" s="16" t="s">
        <v>938</v>
      </c>
      <c r="B812" s="30">
        <v>46044.00070474537</v>
      </c>
      <c r="D812" s="17">
        <v>0.0</v>
      </c>
    </row>
    <row r="813">
      <c r="A813" s="16" t="s">
        <v>939</v>
      </c>
      <c r="B813" s="30">
        <v>46044.00070474537</v>
      </c>
      <c r="D813" s="17">
        <v>0.0</v>
      </c>
    </row>
    <row r="814">
      <c r="A814" s="16" t="s">
        <v>940</v>
      </c>
      <c r="B814" s="30">
        <v>46044.00070474537</v>
      </c>
      <c r="D814" s="17">
        <v>0.0</v>
      </c>
    </row>
    <row r="815">
      <c r="A815" s="16" t="s">
        <v>941</v>
      </c>
      <c r="B815" s="30">
        <v>46044.00070474537</v>
      </c>
      <c r="D815" s="17">
        <v>0.0</v>
      </c>
    </row>
    <row r="816">
      <c r="A816" s="16" t="s">
        <v>942</v>
      </c>
      <c r="B816" s="30">
        <v>46044.00070474537</v>
      </c>
      <c r="D816" s="17">
        <v>0.0</v>
      </c>
    </row>
    <row r="817">
      <c r="A817" s="16" t="s">
        <v>943</v>
      </c>
      <c r="B817" s="30">
        <v>46044.00070474537</v>
      </c>
      <c r="D817" s="17">
        <v>0.0</v>
      </c>
    </row>
    <row r="818">
      <c r="A818" s="16" t="s">
        <v>944</v>
      </c>
      <c r="B818" s="30">
        <v>46044.00070474537</v>
      </c>
      <c r="D818" s="17">
        <v>0.0</v>
      </c>
    </row>
    <row r="819">
      <c r="A819" s="16" t="s">
        <v>945</v>
      </c>
      <c r="B819" s="30">
        <v>46044.00070474537</v>
      </c>
      <c r="D819" s="17">
        <v>0.0</v>
      </c>
    </row>
    <row r="820">
      <c r="A820" s="16" t="s">
        <v>946</v>
      </c>
      <c r="B820" s="30">
        <v>46044.00070474537</v>
      </c>
      <c r="D820" s="17">
        <v>0.0</v>
      </c>
    </row>
    <row r="821">
      <c r="A821" s="16" t="s">
        <v>947</v>
      </c>
      <c r="B821" s="30">
        <v>46044.00070474537</v>
      </c>
      <c r="D821" s="17">
        <v>0.0</v>
      </c>
    </row>
    <row r="822">
      <c r="A822" s="16" t="s">
        <v>948</v>
      </c>
      <c r="B822" s="30">
        <v>46044.00070474537</v>
      </c>
      <c r="D822" s="17">
        <v>0.0</v>
      </c>
    </row>
    <row r="823">
      <c r="A823" s="16" t="s">
        <v>949</v>
      </c>
      <c r="B823" s="30">
        <v>46044.00070474537</v>
      </c>
      <c r="D823" s="17">
        <v>0.0</v>
      </c>
    </row>
    <row r="824">
      <c r="A824" s="16" t="s">
        <v>950</v>
      </c>
      <c r="B824" s="30">
        <v>46044.00070474537</v>
      </c>
      <c r="D824" s="17">
        <v>0.0</v>
      </c>
    </row>
    <row r="825">
      <c r="A825" s="16" t="s">
        <v>951</v>
      </c>
      <c r="B825" s="30">
        <v>46044.00070474537</v>
      </c>
      <c r="D825" s="17">
        <v>0.0</v>
      </c>
    </row>
    <row r="826">
      <c r="A826" s="16" t="s">
        <v>952</v>
      </c>
      <c r="B826" s="30">
        <v>46044.00070474537</v>
      </c>
      <c r="D826" s="17">
        <v>0.0</v>
      </c>
    </row>
    <row r="827">
      <c r="A827" s="16" t="s">
        <v>953</v>
      </c>
      <c r="B827" s="30">
        <v>46044.00070474537</v>
      </c>
      <c r="D827" s="17">
        <v>0.0</v>
      </c>
    </row>
    <row r="828">
      <c r="A828" s="16" t="s">
        <v>954</v>
      </c>
      <c r="B828" s="30">
        <v>46044.00070474537</v>
      </c>
      <c r="D828" s="17">
        <v>0.0</v>
      </c>
    </row>
    <row r="829">
      <c r="A829" s="16" t="s">
        <v>955</v>
      </c>
      <c r="B829" s="30">
        <v>46044.00070474537</v>
      </c>
      <c r="D829" s="17">
        <v>0.0</v>
      </c>
    </row>
    <row r="830">
      <c r="A830" s="16" t="s">
        <v>956</v>
      </c>
      <c r="B830" s="30">
        <v>46044.00070474537</v>
      </c>
      <c r="D830" s="17">
        <v>0.0</v>
      </c>
    </row>
    <row r="831">
      <c r="A831" s="16" t="s">
        <v>957</v>
      </c>
      <c r="B831" s="30">
        <v>46044.00070474537</v>
      </c>
      <c r="D831" s="17">
        <v>0.0</v>
      </c>
    </row>
    <row r="832">
      <c r="A832" s="16" t="s">
        <v>958</v>
      </c>
      <c r="B832" s="30">
        <v>46044.00070474537</v>
      </c>
      <c r="D832" s="17">
        <v>0.0</v>
      </c>
    </row>
    <row r="833">
      <c r="A833" s="16" t="s">
        <v>959</v>
      </c>
      <c r="B833" s="30">
        <v>46044.00070474537</v>
      </c>
      <c r="D833" s="17">
        <v>0.0</v>
      </c>
    </row>
    <row r="834">
      <c r="A834" s="16" t="s">
        <v>960</v>
      </c>
      <c r="B834" s="30">
        <v>46044.00070474537</v>
      </c>
      <c r="D834" s="17">
        <v>0.0</v>
      </c>
    </row>
    <row r="835">
      <c r="A835" s="16" t="s">
        <v>961</v>
      </c>
      <c r="B835" s="30">
        <v>46044.00070474537</v>
      </c>
      <c r="D835" s="17">
        <v>0.0</v>
      </c>
    </row>
    <row r="836">
      <c r="A836" s="16" t="s">
        <v>962</v>
      </c>
      <c r="B836" s="30">
        <v>46044.00070474537</v>
      </c>
      <c r="D836" s="17">
        <v>0.0</v>
      </c>
    </row>
    <row r="837">
      <c r="A837" s="16" t="s">
        <v>963</v>
      </c>
      <c r="B837" s="30">
        <v>46044.00070474537</v>
      </c>
      <c r="D837" s="17">
        <v>0.0</v>
      </c>
    </row>
    <row r="838">
      <c r="A838" s="16" t="s">
        <v>964</v>
      </c>
      <c r="B838" s="30">
        <v>46044.00070474537</v>
      </c>
      <c r="D838" s="17">
        <v>0.0</v>
      </c>
    </row>
    <row r="839">
      <c r="A839" s="16" t="s">
        <v>965</v>
      </c>
      <c r="B839" s="30">
        <v>46044.00070474537</v>
      </c>
      <c r="D839" s="17">
        <v>0.0</v>
      </c>
    </row>
    <row r="840">
      <c r="A840" s="16" t="s">
        <v>966</v>
      </c>
      <c r="B840" s="30">
        <v>46044.00070474537</v>
      </c>
      <c r="D840" s="17">
        <v>0.0</v>
      </c>
    </row>
    <row r="841">
      <c r="A841" s="16" t="s">
        <v>967</v>
      </c>
      <c r="B841" s="30">
        <v>46044.00070474537</v>
      </c>
      <c r="D841" s="17">
        <v>0.0</v>
      </c>
    </row>
    <row r="842">
      <c r="A842" s="16" t="s">
        <v>968</v>
      </c>
      <c r="B842" s="30">
        <v>46044.00070474537</v>
      </c>
      <c r="D842" s="17">
        <v>0.0</v>
      </c>
    </row>
    <row r="843">
      <c r="A843" s="16" t="s">
        <v>969</v>
      </c>
      <c r="B843" s="30">
        <v>46044.00070474537</v>
      </c>
      <c r="D843" s="17">
        <v>0.0</v>
      </c>
    </row>
    <row r="844">
      <c r="A844" s="16" t="s">
        <v>970</v>
      </c>
      <c r="B844" s="30">
        <v>46044.00070474537</v>
      </c>
      <c r="D844" s="17">
        <v>0.0</v>
      </c>
    </row>
    <row r="845">
      <c r="A845" s="16" t="s">
        <v>971</v>
      </c>
      <c r="B845" s="30">
        <v>46044.00070474537</v>
      </c>
      <c r="D845" s="17">
        <v>0.0</v>
      </c>
    </row>
    <row r="846">
      <c r="A846" s="16" t="s">
        <v>972</v>
      </c>
      <c r="B846" s="30">
        <v>46044.00070474537</v>
      </c>
      <c r="D846" s="17">
        <v>0.0</v>
      </c>
    </row>
    <row r="847">
      <c r="A847" s="16" t="s">
        <v>973</v>
      </c>
      <c r="B847" s="30">
        <v>46044.00070474537</v>
      </c>
      <c r="D847" s="17">
        <v>0.0</v>
      </c>
    </row>
    <row r="848">
      <c r="A848" s="16" t="s">
        <v>974</v>
      </c>
      <c r="B848" s="30">
        <v>46044.00070474537</v>
      </c>
      <c r="D848" s="17">
        <v>0.0</v>
      </c>
    </row>
    <row r="849">
      <c r="A849" s="16" t="s">
        <v>975</v>
      </c>
      <c r="B849" s="30">
        <v>46044.00070474537</v>
      </c>
      <c r="D849" s="17">
        <v>0.0</v>
      </c>
    </row>
    <row r="850">
      <c r="A850" s="16" t="s">
        <v>976</v>
      </c>
      <c r="B850" s="30">
        <v>46044.00070474537</v>
      </c>
      <c r="D850" s="17">
        <v>0.0</v>
      </c>
    </row>
    <row r="851">
      <c r="A851" s="16" t="s">
        <v>977</v>
      </c>
      <c r="B851" s="30">
        <v>46044.00070474537</v>
      </c>
      <c r="D851" s="17">
        <v>0.0</v>
      </c>
    </row>
    <row r="852">
      <c r="A852" s="16" t="s">
        <v>978</v>
      </c>
      <c r="B852" s="30">
        <v>46044.00070474537</v>
      </c>
      <c r="D852" s="17">
        <v>0.0</v>
      </c>
    </row>
    <row r="853">
      <c r="A853" s="16" t="s">
        <v>979</v>
      </c>
      <c r="B853" s="30">
        <v>46044.00070474537</v>
      </c>
      <c r="D853" s="17">
        <v>0.0</v>
      </c>
    </row>
    <row r="854">
      <c r="A854" s="16" t="s">
        <v>980</v>
      </c>
      <c r="B854" s="30">
        <v>46044.00070474537</v>
      </c>
      <c r="D854" s="17">
        <v>0.0</v>
      </c>
    </row>
    <row r="855">
      <c r="A855" s="16" t="s">
        <v>981</v>
      </c>
      <c r="B855" s="30">
        <v>46044.00070474537</v>
      </c>
      <c r="D855" s="17">
        <v>0.0</v>
      </c>
    </row>
    <row r="856">
      <c r="A856" s="16" t="s">
        <v>982</v>
      </c>
      <c r="B856" s="30">
        <v>46044.00070474537</v>
      </c>
      <c r="D856" s="17">
        <v>0.0</v>
      </c>
    </row>
    <row r="857">
      <c r="A857" s="16" t="s">
        <v>983</v>
      </c>
      <c r="B857" s="30">
        <v>46044.00070474537</v>
      </c>
      <c r="D857" s="17">
        <v>0.0</v>
      </c>
    </row>
    <row r="858">
      <c r="A858" s="16" t="s">
        <v>984</v>
      </c>
      <c r="B858" s="30">
        <v>46044.00070474537</v>
      </c>
      <c r="D858" s="17">
        <v>0.0</v>
      </c>
    </row>
    <row r="859">
      <c r="A859" s="16" t="s">
        <v>985</v>
      </c>
      <c r="B859" s="30">
        <v>46044.00070474537</v>
      </c>
      <c r="D859" s="17">
        <v>0.0</v>
      </c>
    </row>
    <row r="860">
      <c r="A860" s="16" t="s">
        <v>986</v>
      </c>
      <c r="B860" s="30">
        <v>46044.00070474537</v>
      </c>
      <c r="D860" s="17">
        <v>0.0</v>
      </c>
    </row>
    <row r="861">
      <c r="A861" s="16" t="s">
        <v>987</v>
      </c>
      <c r="B861" s="30">
        <v>46044.00070474537</v>
      </c>
      <c r="D861" s="17">
        <v>0.0</v>
      </c>
    </row>
    <row r="862">
      <c r="A862" s="16" t="s">
        <v>988</v>
      </c>
      <c r="B862" s="30">
        <v>46044.00070474537</v>
      </c>
      <c r="D862" s="17">
        <v>0.0</v>
      </c>
    </row>
    <row r="863">
      <c r="A863" s="16" t="s">
        <v>989</v>
      </c>
      <c r="B863" s="30">
        <v>46044.00070474537</v>
      </c>
      <c r="D863" s="17">
        <v>0.0</v>
      </c>
    </row>
    <row r="864">
      <c r="A864" s="16" t="s">
        <v>990</v>
      </c>
      <c r="B864" s="30">
        <v>46044.00070474537</v>
      </c>
      <c r="D864" s="17">
        <v>0.0</v>
      </c>
    </row>
    <row r="865">
      <c r="A865" s="16" t="s">
        <v>991</v>
      </c>
      <c r="B865" s="30">
        <v>46044.00070474537</v>
      </c>
      <c r="D865" s="17">
        <v>0.0</v>
      </c>
    </row>
    <row r="866">
      <c r="A866" s="16" t="s">
        <v>992</v>
      </c>
      <c r="B866" s="30">
        <v>46044.00070474537</v>
      </c>
      <c r="D866" s="17">
        <v>0.0</v>
      </c>
    </row>
    <row r="867">
      <c r="A867" s="16" t="s">
        <v>993</v>
      </c>
      <c r="B867" s="30">
        <v>46044.00070474537</v>
      </c>
      <c r="D867" s="17">
        <v>0.0</v>
      </c>
    </row>
    <row r="868">
      <c r="A868" s="16" t="s">
        <v>994</v>
      </c>
      <c r="B868" s="30">
        <v>46044.00070474537</v>
      </c>
      <c r="D868" s="17">
        <v>0.0</v>
      </c>
    </row>
    <row r="869">
      <c r="A869" s="16" t="s">
        <v>995</v>
      </c>
      <c r="B869" s="30">
        <v>46044.00070474537</v>
      </c>
      <c r="D869" s="17">
        <v>0.0</v>
      </c>
    </row>
    <row r="870">
      <c r="A870" s="16" t="s">
        <v>996</v>
      </c>
      <c r="B870" s="30">
        <v>46044.00070474537</v>
      </c>
      <c r="D870" s="17">
        <v>0.0</v>
      </c>
    </row>
    <row r="871">
      <c r="A871" s="16" t="s">
        <v>997</v>
      </c>
      <c r="B871" s="30">
        <v>46044.00070474537</v>
      </c>
      <c r="D871" s="17">
        <v>0.0</v>
      </c>
    </row>
    <row r="872">
      <c r="A872" s="16" t="s">
        <v>998</v>
      </c>
      <c r="B872" s="30">
        <v>46044.00070474537</v>
      </c>
      <c r="D872" s="17">
        <v>0.0</v>
      </c>
    </row>
    <row r="873">
      <c r="A873" s="16" t="s">
        <v>999</v>
      </c>
      <c r="B873" s="30">
        <v>46044.00070474537</v>
      </c>
      <c r="D873" s="17">
        <v>0.0</v>
      </c>
    </row>
    <row r="874">
      <c r="A874" s="16" t="s">
        <v>1000</v>
      </c>
      <c r="B874" s="30">
        <v>46044.00070474537</v>
      </c>
      <c r="D874" s="17">
        <v>0.0</v>
      </c>
    </row>
    <row r="875">
      <c r="A875" s="16" t="s">
        <v>1001</v>
      </c>
      <c r="B875" s="30">
        <v>46044.00070474537</v>
      </c>
      <c r="D875" s="17">
        <v>0.0</v>
      </c>
    </row>
    <row r="876">
      <c r="A876" s="16" t="s">
        <v>1002</v>
      </c>
      <c r="B876" s="30">
        <v>46044.00070474537</v>
      </c>
      <c r="D876" s="17">
        <v>0.0</v>
      </c>
    </row>
    <row r="877">
      <c r="A877" s="16" t="s">
        <v>1003</v>
      </c>
      <c r="B877" s="30">
        <v>46044.00070474537</v>
      </c>
      <c r="D877" s="17">
        <v>0.0</v>
      </c>
    </row>
    <row r="878">
      <c r="A878" s="16" t="s">
        <v>1004</v>
      </c>
      <c r="B878" s="30">
        <v>46044.00070474537</v>
      </c>
      <c r="D878" s="17">
        <v>0.0</v>
      </c>
    </row>
    <row r="879">
      <c r="A879" s="16" t="s">
        <v>1005</v>
      </c>
      <c r="B879" s="30">
        <v>46044.00070474537</v>
      </c>
      <c r="D879" s="17">
        <v>0.0</v>
      </c>
    </row>
    <row r="880">
      <c r="A880" s="16" t="s">
        <v>1006</v>
      </c>
      <c r="B880" s="30">
        <v>46044.00070474537</v>
      </c>
      <c r="D880" s="17">
        <v>0.0</v>
      </c>
    </row>
    <row r="881">
      <c r="A881" s="16" t="s">
        <v>1007</v>
      </c>
      <c r="B881" s="30">
        <v>46044.00070474537</v>
      </c>
      <c r="D881" s="17">
        <v>0.0</v>
      </c>
    </row>
    <row r="882">
      <c r="A882" s="16" t="s">
        <v>1008</v>
      </c>
      <c r="B882" s="30">
        <v>46044.00070474537</v>
      </c>
      <c r="D882" s="17">
        <v>0.0</v>
      </c>
    </row>
    <row r="883">
      <c r="A883" s="16" t="s">
        <v>1009</v>
      </c>
      <c r="B883" s="30">
        <v>46044.00070474537</v>
      </c>
      <c r="D883" s="17">
        <v>0.0</v>
      </c>
    </row>
    <row r="884">
      <c r="A884" s="16" t="s">
        <v>1010</v>
      </c>
      <c r="B884" s="30">
        <v>46044.00070474537</v>
      </c>
      <c r="D884" s="17">
        <v>0.0</v>
      </c>
    </row>
    <row r="885">
      <c r="A885" s="16" t="s">
        <v>1011</v>
      </c>
      <c r="B885" s="30">
        <v>46044.00070474537</v>
      </c>
      <c r="D885" s="17">
        <v>0.0</v>
      </c>
    </row>
    <row r="886">
      <c r="A886" s="16" t="s">
        <v>1012</v>
      </c>
      <c r="B886" s="30">
        <v>46044.00070474537</v>
      </c>
      <c r="D886" s="17">
        <v>0.0</v>
      </c>
    </row>
    <row r="887">
      <c r="A887" s="16" t="s">
        <v>1013</v>
      </c>
      <c r="B887" s="30">
        <v>46044.00070474537</v>
      </c>
      <c r="D887" s="17">
        <v>0.0</v>
      </c>
    </row>
    <row r="888">
      <c r="A888" s="16" t="s">
        <v>1014</v>
      </c>
      <c r="B888" s="30">
        <v>46044.00070474537</v>
      </c>
      <c r="D888" s="17">
        <v>0.0</v>
      </c>
    </row>
    <row r="889">
      <c r="A889" s="16" t="s">
        <v>1015</v>
      </c>
      <c r="B889" s="30">
        <v>46044.00070474537</v>
      </c>
      <c r="D889" s="17">
        <v>0.0</v>
      </c>
    </row>
    <row r="890">
      <c r="A890" s="16" t="s">
        <v>1016</v>
      </c>
      <c r="B890" s="30">
        <v>46044.00070474537</v>
      </c>
      <c r="D890" s="17">
        <v>0.0</v>
      </c>
    </row>
    <row r="891">
      <c r="A891" s="16" t="s">
        <v>1017</v>
      </c>
      <c r="B891" s="30">
        <v>46044.00070474537</v>
      </c>
      <c r="D891" s="17">
        <v>0.0</v>
      </c>
    </row>
    <row r="892">
      <c r="A892" s="16" t="s">
        <v>1018</v>
      </c>
      <c r="B892" s="30">
        <v>46044.00070474537</v>
      </c>
      <c r="D892" s="17">
        <v>0.0</v>
      </c>
    </row>
    <row r="893">
      <c r="A893" s="16" t="s">
        <v>1019</v>
      </c>
      <c r="B893" s="30">
        <v>46044.00070474537</v>
      </c>
      <c r="D893" s="17">
        <v>0.0</v>
      </c>
    </row>
    <row r="894">
      <c r="A894" s="16" t="s">
        <v>1020</v>
      </c>
      <c r="B894" s="30">
        <v>46044.00070474537</v>
      </c>
      <c r="D894" s="17">
        <v>0.0</v>
      </c>
    </row>
    <row r="895">
      <c r="A895" s="16" t="s">
        <v>1021</v>
      </c>
      <c r="B895" s="30">
        <v>46044.00070474537</v>
      </c>
      <c r="D895" s="17">
        <v>0.0</v>
      </c>
    </row>
    <row r="896">
      <c r="A896" s="16" t="s">
        <v>1022</v>
      </c>
      <c r="B896" s="30">
        <v>46044.00070474537</v>
      </c>
      <c r="D896" s="17">
        <v>0.0</v>
      </c>
    </row>
    <row r="897">
      <c r="A897" s="16" t="s">
        <v>1023</v>
      </c>
      <c r="B897" s="30">
        <v>46044.00070474537</v>
      </c>
      <c r="D897" s="17">
        <v>0.0</v>
      </c>
    </row>
    <row r="898">
      <c r="A898" s="16" t="s">
        <v>1024</v>
      </c>
      <c r="B898" s="30">
        <v>46044.00070474537</v>
      </c>
      <c r="D898" s="17">
        <v>0.0</v>
      </c>
    </row>
    <row r="899">
      <c r="A899" s="16" t="s">
        <v>1025</v>
      </c>
      <c r="B899" s="30">
        <v>46044.00070474537</v>
      </c>
      <c r="D899" s="17">
        <v>0.0</v>
      </c>
    </row>
    <row r="900">
      <c r="A900" s="16" t="s">
        <v>1026</v>
      </c>
      <c r="B900" s="30">
        <v>46044.00070474537</v>
      </c>
      <c r="D900" s="17">
        <v>0.0</v>
      </c>
    </row>
    <row r="901">
      <c r="A901" s="16" t="s">
        <v>1027</v>
      </c>
      <c r="B901" s="30">
        <v>46044.00070474537</v>
      </c>
      <c r="D901" s="17">
        <v>0.0</v>
      </c>
    </row>
    <row r="902">
      <c r="A902" s="16" t="s">
        <v>1028</v>
      </c>
      <c r="B902" s="30">
        <v>46044.00070474537</v>
      </c>
      <c r="D902" s="17">
        <v>0.0</v>
      </c>
    </row>
    <row r="903">
      <c r="A903" s="16" t="s">
        <v>1029</v>
      </c>
      <c r="B903" s="30">
        <v>46044.00070474537</v>
      </c>
      <c r="D903" s="17">
        <v>0.0</v>
      </c>
    </row>
    <row r="904">
      <c r="A904" s="16" t="s">
        <v>1030</v>
      </c>
      <c r="B904" s="30">
        <v>46044.00070474537</v>
      </c>
      <c r="D904" s="17">
        <v>0.0</v>
      </c>
    </row>
    <row r="905">
      <c r="A905" s="16" t="s">
        <v>1031</v>
      </c>
      <c r="B905" s="30">
        <v>46044.00070474537</v>
      </c>
      <c r="D905" s="17">
        <v>0.0</v>
      </c>
    </row>
    <row r="906">
      <c r="A906" s="16" t="s">
        <v>1032</v>
      </c>
      <c r="B906" s="30">
        <v>46044.00070474537</v>
      </c>
      <c r="D906" s="17">
        <v>0.0</v>
      </c>
    </row>
    <row r="907">
      <c r="A907" s="16" t="s">
        <v>1033</v>
      </c>
      <c r="B907" s="30">
        <v>46044.00070474537</v>
      </c>
      <c r="D907" s="17">
        <v>0.0</v>
      </c>
    </row>
    <row r="908">
      <c r="A908" s="16" t="s">
        <v>1034</v>
      </c>
      <c r="B908" s="30">
        <v>46044.00070474537</v>
      </c>
      <c r="D908" s="17">
        <v>0.0</v>
      </c>
    </row>
    <row r="909">
      <c r="A909" s="16" t="s">
        <v>1035</v>
      </c>
      <c r="B909" s="30">
        <v>46044.00070474537</v>
      </c>
      <c r="D909" s="17">
        <v>0.0</v>
      </c>
    </row>
    <row r="910">
      <c r="A910" s="16" t="s">
        <v>1036</v>
      </c>
      <c r="B910" s="30">
        <v>46044.00070474537</v>
      </c>
      <c r="D910" s="17">
        <v>0.0</v>
      </c>
    </row>
    <row r="911">
      <c r="A911" s="16" t="s">
        <v>1037</v>
      </c>
      <c r="B911" s="30">
        <v>46044.00070474537</v>
      </c>
      <c r="D911" s="17">
        <v>0.0</v>
      </c>
    </row>
    <row r="912">
      <c r="A912" s="16" t="s">
        <v>1038</v>
      </c>
      <c r="B912" s="30">
        <v>46044.00070474537</v>
      </c>
      <c r="D912" s="17">
        <v>0.0</v>
      </c>
    </row>
    <row r="913">
      <c r="A913" s="16" t="s">
        <v>1039</v>
      </c>
      <c r="B913" s="30">
        <v>46044.00070474537</v>
      </c>
      <c r="D913" s="17">
        <v>0.0</v>
      </c>
    </row>
    <row r="914">
      <c r="A914" s="16" t="s">
        <v>1040</v>
      </c>
      <c r="B914" s="30">
        <v>46044.00070474537</v>
      </c>
      <c r="D914" s="17">
        <v>0.0</v>
      </c>
    </row>
    <row r="915">
      <c r="A915" s="16" t="s">
        <v>1041</v>
      </c>
      <c r="B915" s="30">
        <v>46044.00070474537</v>
      </c>
      <c r="D915" s="17">
        <v>0.0</v>
      </c>
    </row>
    <row r="916">
      <c r="A916" s="16" t="s">
        <v>1042</v>
      </c>
      <c r="B916" s="30">
        <v>46044.00070474537</v>
      </c>
      <c r="D916" s="17">
        <v>0.0</v>
      </c>
    </row>
    <row r="917">
      <c r="A917" s="16" t="s">
        <v>1043</v>
      </c>
      <c r="B917" s="30">
        <v>46044.00070474537</v>
      </c>
      <c r="D917" s="17">
        <v>0.0</v>
      </c>
    </row>
    <row r="918">
      <c r="A918" s="16" t="s">
        <v>1044</v>
      </c>
      <c r="B918" s="30">
        <v>46044.00070474537</v>
      </c>
      <c r="D918" s="17">
        <v>0.0</v>
      </c>
    </row>
    <row r="919">
      <c r="A919" s="16" t="s">
        <v>1045</v>
      </c>
      <c r="B919" s="30">
        <v>46044.00070474537</v>
      </c>
      <c r="D919" s="17">
        <v>0.0</v>
      </c>
    </row>
    <row r="920">
      <c r="A920" s="16" t="s">
        <v>1046</v>
      </c>
      <c r="B920" s="30">
        <v>46044.00070474537</v>
      </c>
      <c r="D920" s="17">
        <v>0.0</v>
      </c>
    </row>
    <row r="921">
      <c r="A921" s="16" t="s">
        <v>1047</v>
      </c>
      <c r="B921" s="30">
        <v>46044.00070474537</v>
      </c>
      <c r="D921" s="17">
        <v>0.0</v>
      </c>
    </row>
    <row r="922">
      <c r="A922" s="16" t="s">
        <v>1048</v>
      </c>
      <c r="B922" s="30">
        <v>46044.00070474537</v>
      </c>
      <c r="D922" s="17">
        <v>0.0</v>
      </c>
    </row>
    <row r="923">
      <c r="A923" s="16" t="s">
        <v>1049</v>
      </c>
      <c r="B923" s="30">
        <v>46044.00070474537</v>
      </c>
      <c r="D923" s="17">
        <v>0.0</v>
      </c>
    </row>
    <row r="924">
      <c r="A924" s="16" t="s">
        <v>1050</v>
      </c>
      <c r="B924" s="30">
        <v>46044.00070474537</v>
      </c>
      <c r="D924" s="17">
        <v>0.0</v>
      </c>
    </row>
    <row r="925">
      <c r="A925" s="16" t="s">
        <v>1051</v>
      </c>
      <c r="B925" s="30">
        <v>46044.00070474537</v>
      </c>
      <c r="D925" s="17">
        <v>0.0</v>
      </c>
    </row>
    <row r="926">
      <c r="A926" s="16" t="s">
        <v>1052</v>
      </c>
      <c r="B926" s="30">
        <v>46044.00070474537</v>
      </c>
      <c r="D926" s="17">
        <v>0.0</v>
      </c>
    </row>
    <row r="927">
      <c r="A927" s="16" t="s">
        <v>1053</v>
      </c>
      <c r="B927" s="30">
        <v>46044.00070474537</v>
      </c>
      <c r="D927" s="17">
        <v>0.0</v>
      </c>
    </row>
    <row r="928">
      <c r="A928" s="16" t="s">
        <v>1054</v>
      </c>
      <c r="B928" s="30">
        <v>46044.00070474537</v>
      </c>
      <c r="D928" s="17">
        <v>0.0</v>
      </c>
    </row>
    <row r="929">
      <c r="A929" s="16" t="s">
        <v>1055</v>
      </c>
      <c r="B929" s="30">
        <v>46044.00070474537</v>
      </c>
      <c r="D929" s="17">
        <v>0.0</v>
      </c>
    </row>
    <row r="930">
      <c r="A930" s="16" t="s">
        <v>1056</v>
      </c>
      <c r="B930" s="30">
        <v>46044.00070474537</v>
      </c>
      <c r="D930" s="17">
        <v>0.0</v>
      </c>
    </row>
    <row r="931">
      <c r="A931" s="16" t="s">
        <v>1057</v>
      </c>
      <c r="B931" s="30">
        <v>46044.00070474537</v>
      </c>
      <c r="D931" s="17">
        <v>0.0</v>
      </c>
    </row>
    <row r="932">
      <c r="A932" s="16" t="s">
        <v>1058</v>
      </c>
      <c r="B932" s="30">
        <v>46044.00070474537</v>
      </c>
      <c r="D932" s="17">
        <v>0.0</v>
      </c>
    </row>
    <row r="933">
      <c r="A933" s="16" t="s">
        <v>1059</v>
      </c>
      <c r="B933" s="30">
        <v>46044.00070474537</v>
      </c>
      <c r="D933" s="17">
        <v>0.0</v>
      </c>
    </row>
    <row r="934">
      <c r="A934" s="16" t="s">
        <v>1060</v>
      </c>
      <c r="B934" s="30">
        <v>46044.00070474537</v>
      </c>
      <c r="D934" s="17">
        <v>0.0</v>
      </c>
    </row>
    <row r="935">
      <c r="A935" s="16" t="s">
        <v>1061</v>
      </c>
      <c r="B935" s="30">
        <v>46044.00070474537</v>
      </c>
      <c r="D935" s="17">
        <v>0.0</v>
      </c>
    </row>
    <row r="936">
      <c r="A936" s="16" t="s">
        <v>1062</v>
      </c>
      <c r="B936" s="30">
        <v>46044.00070474537</v>
      </c>
      <c r="D936" s="17">
        <v>0.0</v>
      </c>
    </row>
    <row r="937">
      <c r="A937" s="16" t="s">
        <v>1063</v>
      </c>
      <c r="B937" s="30">
        <v>46044.00070474537</v>
      </c>
      <c r="D937" s="17">
        <v>0.0</v>
      </c>
    </row>
    <row r="938">
      <c r="A938" s="16" t="s">
        <v>1064</v>
      </c>
      <c r="B938" s="30">
        <v>46044.00070474537</v>
      </c>
      <c r="D938" s="17">
        <v>0.0</v>
      </c>
    </row>
    <row r="939">
      <c r="A939" s="16" t="s">
        <v>1065</v>
      </c>
      <c r="B939" s="30">
        <v>46044.00070474537</v>
      </c>
      <c r="D939" s="17">
        <v>0.0</v>
      </c>
    </row>
    <row r="940">
      <c r="A940" s="16" t="s">
        <v>1066</v>
      </c>
      <c r="B940" s="30">
        <v>46044.00070474537</v>
      </c>
      <c r="D940" s="17">
        <v>0.0</v>
      </c>
    </row>
    <row r="941">
      <c r="A941" s="16" t="s">
        <v>1067</v>
      </c>
      <c r="B941" s="30">
        <v>46044.00070474537</v>
      </c>
      <c r="D941" s="17">
        <v>0.0</v>
      </c>
    </row>
    <row r="942">
      <c r="A942" s="16" t="s">
        <v>1068</v>
      </c>
      <c r="B942" s="30">
        <v>46044.00070474537</v>
      </c>
      <c r="D942" s="17">
        <v>0.0</v>
      </c>
    </row>
    <row r="943">
      <c r="A943" s="16" t="s">
        <v>1069</v>
      </c>
      <c r="B943" s="30">
        <v>46044.00070474537</v>
      </c>
      <c r="D943" s="17">
        <v>0.0</v>
      </c>
    </row>
    <row r="944">
      <c r="A944" s="16" t="s">
        <v>1070</v>
      </c>
      <c r="B944" s="30">
        <v>46044.00070474537</v>
      </c>
      <c r="D944" s="17">
        <v>0.0</v>
      </c>
    </row>
    <row r="945">
      <c r="A945" s="16" t="s">
        <v>1071</v>
      </c>
      <c r="B945" s="30">
        <v>46044.00070474537</v>
      </c>
      <c r="D945" s="17">
        <v>0.0</v>
      </c>
    </row>
    <row r="946">
      <c r="A946" s="16" t="s">
        <v>1072</v>
      </c>
      <c r="B946" s="30">
        <v>46044.00070474537</v>
      </c>
      <c r="D946" s="17">
        <v>0.0</v>
      </c>
    </row>
    <row r="947">
      <c r="A947" s="16" t="s">
        <v>1073</v>
      </c>
      <c r="B947" s="30">
        <v>46044.00070474537</v>
      </c>
      <c r="D947" s="17">
        <v>0.0</v>
      </c>
    </row>
    <row r="948">
      <c r="A948" s="16" t="s">
        <v>1074</v>
      </c>
      <c r="B948" s="30">
        <v>46044.00070474537</v>
      </c>
      <c r="D948" s="17">
        <v>0.0</v>
      </c>
    </row>
    <row r="949">
      <c r="A949" s="16" t="s">
        <v>1075</v>
      </c>
      <c r="B949" s="30">
        <v>46044.00070474537</v>
      </c>
      <c r="D949" s="17">
        <v>0.0</v>
      </c>
    </row>
    <row r="950">
      <c r="A950" s="16" t="s">
        <v>1076</v>
      </c>
      <c r="B950" s="30">
        <v>46044.00070474537</v>
      </c>
      <c r="D950" s="17">
        <v>0.0</v>
      </c>
    </row>
    <row r="951">
      <c r="A951" s="16" t="s">
        <v>1077</v>
      </c>
      <c r="B951" s="30">
        <v>46044.00070474537</v>
      </c>
      <c r="D951" s="17">
        <v>0.0</v>
      </c>
    </row>
    <row r="952">
      <c r="A952" s="16" t="s">
        <v>1078</v>
      </c>
      <c r="B952" s="30">
        <v>46044.00070474537</v>
      </c>
      <c r="D952" s="17">
        <v>0.0</v>
      </c>
    </row>
    <row r="953">
      <c r="A953" s="16" t="s">
        <v>1079</v>
      </c>
      <c r="B953" s="30">
        <v>46044.00070474537</v>
      </c>
      <c r="D953" s="17">
        <v>0.0</v>
      </c>
    </row>
    <row r="954">
      <c r="A954" s="16" t="s">
        <v>1080</v>
      </c>
      <c r="B954" s="30">
        <v>46044.00070474537</v>
      </c>
      <c r="D954" s="17">
        <v>0.0</v>
      </c>
    </row>
    <row r="955">
      <c r="A955" s="16" t="s">
        <v>1081</v>
      </c>
      <c r="B955" s="30">
        <v>46044.00070474537</v>
      </c>
      <c r="D955" s="17">
        <v>0.0</v>
      </c>
    </row>
    <row r="956">
      <c r="A956" s="16" t="s">
        <v>1082</v>
      </c>
      <c r="B956" s="30">
        <v>46044.00070474537</v>
      </c>
      <c r="D956" s="17">
        <v>0.0</v>
      </c>
    </row>
    <row r="957">
      <c r="A957" s="16" t="s">
        <v>1083</v>
      </c>
      <c r="B957" s="30">
        <v>46044.00070474537</v>
      </c>
      <c r="D957" s="17">
        <v>0.0</v>
      </c>
    </row>
    <row r="958">
      <c r="A958" s="16" t="s">
        <v>1084</v>
      </c>
      <c r="B958" s="30">
        <v>46044.00070474537</v>
      </c>
      <c r="D958" s="17">
        <v>0.0</v>
      </c>
    </row>
    <row r="959">
      <c r="A959" s="16" t="s">
        <v>1085</v>
      </c>
      <c r="B959" s="30">
        <v>46044.00070474537</v>
      </c>
      <c r="D959" s="17">
        <v>0.0</v>
      </c>
    </row>
    <row r="960">
      <c r="A960" s="16" t="s">
        <v>1086</v>
      </c>
      <c r="B960" s="30">
        <v>46044.00070474537</v>
      </c>
      <c r="D960" s="17">
        <v>0.0</v>
      </c>
    </row>
    <row r="961">
      <c r="A961" s="16" t="s">
        <v>1087</v>
      </c>
      <c r="B961" s="30">
        <v>46044.00070474537</v>
      </c>
      <c r="D961" s="17">
        <v>0.0</v>
      </c>
    </row>
    <row r="962">
      <c r="A962" s="16" t="s">
        <v>1088</v>
      </c>
      <c r="B962" s="30">
        <v>46044.00070474537</v>
      </c>
      <c r="D962" s="17">
        <v>0.0</v>
      </c>
    </row>
    <row r="963">
      <c r="A963" s="16" t="s">
        <v>1089</v>
      </c>
      <c r="B963" s="30">
        <v>46044.00070474537</v>
      </c>
      <c r="D963" s="17">
        <v>0.0</v>
      </c>
    </row>
    <row r="964">
      <c r="A964" s="16" t="s">
        <v>1090</v>
      </c>
      <c r="B964" s="30">
        <v>46044.00070474537</v>
      </c>
      <c r="D964" s="17">
        <v>0.0</v>
      </c>
    </row>
    <row r="965">
      <c r="A965" s="16" t="s">
        <v>1091</v>
      </c>
      <c r="B965" s="30">
        <v>46044.00070474537</v>
      </c>
      <c r="D965" s="17">
        <v>0.0</v>
      </c>
    </row>
    <row r="966">
      <c r="A966" s="16" t="s">
        <v>1092</v>
      </c>
      <c r="B966" s="30">
        <v>46044.00070474537</v>
      </c>
      <c r="D966" s="17">
        <v>0.0</v>
      </c>
    </row>
    <row r="967">
      <c r="A967" s="16" t="s">
        <v>1093</v>
      </c>
      <c r="B967" s="30">
        <v>46044.00070474537</v>
      </c>
      <c r="D967" s="17">
        <v>0.0</v>
      </c>
    </row>
    <row r="968">
      <c r="A968" s="16" t="s">
        <v>1094</v>
      </c>
      <c r="B968" s="30">
        <v>46044.00070474537</v>
      </c>
      <c r="D968" s="17">
        <v>0.0</v>
      </c>
    </row>
    <row r="969">
      <c r="A969" s="16" t="s">
        <v>1095</v>
      </c>
      <c r="B969" s="30">
        <v>46044.00070474537</v>
      </c>
      <c r="D969" s="17">
        <v>0.0</v>
      </c>
    </row>
    <row r="970">
      <c r="A970" s="16" t="s">
        <v>1096</v>
      </c>
      <c r="B970" s="30">
        <v>46044.00070474537</v>
      </c>
      <c r="D970" s="17">
        <v>0.0</v>
      </c>
    </row>
    <row r="971">
      <c r="A971" s="16" t="s">
        <v>1097</v>
      </c>
      <c r="B971" s="30">
        <v>46044.00070474537</v>
      </c>
      <c r="D971" s="17">
        <v>0.0</v>
      </c>
    </row>
    <row r="972">
      <c r="A972" s="16" t="s">
        <v>1098</v>
      </c>
      <c r="B972" s="30">
        <v>46044.00070474537</v>
      </c>
      <c r="D972" s="17">
        <v>0.0</v>
      </c>
    </row>
    <row r="973">
      <c r="A973" s="16" t="s">
        <v>1099</v>
      </c>
      <c r="B973" s="30">
        <v>46044.00070474537</v>
      </c>
      <c r="D973" s="17">
        <v>0.0</v>
      </c>
    </row>
    <row r="974">
      <c r="A974" s="16" t="s">
        <v>1100</v>
      </c>
      <c r="B974" s="30">
        <v>46044.00070474537</v>
      </c>
      <c r="D974" s="17">
        <v>0.0</v>
      </c>
    </row>
    <row r="975">
      <c r="A975" s="16" t="s">
        <v>1101</v>
      </c>
      <c r="B975" s="30">
        <v>46044.00070474537</v>
      </c>
      <c r="D975" s="17">
        <v>0.0</v>
      </c>
    </row>
    <row r="976">
      <c r="A976" s="16" t="s">
        <v>1102</v>
      </c>
      <c r="B976" s="30">
        <v>46044.00070474537</v>
      </c>
      <c r="D976" s="17">
        <v>0.0</v>
      </c>
    </row>
    <row r="977">
      <c r="A977" s="16" t="s">
        <v>1103</v>
      </c>
      <c r="B977" s="30">
        <v>46044.00070474537</v>
      </c>
      <c r="D977" s="17">
        <v>0.0</v>
      </c>
    </row>
    <row r="978">
      <c r="A978" s="16" t="s">
        <v>1104</v>
      </c>
      <c r="B978" s="30">
        <v>46044.00070474537</v>
      </c>
      <c r="D978" s="17">
        <v>0.0</v>
      </c>
    </row>
    <row r="979">
      <c r="A979" s="16" t="s">
        <v>1105</v>
      </c>
      <c r="B979" s="30">
        <v>46044.00070474537</v>
      </c>
      <c r="D979" s="17">
        <v>0.0</v>
      </c>
    </row>
    <row r="980">
      <c r="A980" s="16" t="s">
        <v>1106</v>
      </c>
      <c r="B980" s="30">
        <v>46044.00070474537</v>
      </c>
      <c r="D980" s="17">
        <v>0.0</v>
      </c>
    </row>
    <row r="981">
      <c r="A981" s="16" t="s">
        <v>1107</v>
      </c>
      <c r="B981" s="30">
        <v>46044.00070474537</v>
      </c>
      <c r="D981" s="17">
        <v>0.0</v>
      </c>
    </row>
    <row r="982">
      <c r="A982" s="16" t="s">
        <v>1108</v>
      </c>
      <c r="B982" s="30">
        <v>46044.00070474537</v>
      </c>
      <c r="D982" s="17">
        <v>0.0</v>
      </c>
    </row>
    <row r="983">
      <c r="A983" s="16" t="s">
        <v>1109</v>
      </c>
      <c r="B983" s="30">
        <v>46044.00070474537</v>
      </c>
      <c r="D983" s="17">
        <v>0.0</v>
      </c>
    </row>
    <row r="984">
      <c r="A984" s="16" t="s">
        <v>1110</v>
      </c>
      <c r="B984" s="30">
        <v>46044.00070474537</v>
      </c>
      <c r="D984" s="17">
        <v>0.0</v>
      </c>
    </row>
    <row r="985">
      <c r="A985" s="16" t="s">
        <v>1111</v>
      </c>
      <c r="B985" s="30">
        <v>46044.00070474537</v>
      </c>
      <c r="D985" s="17">
        <v>0.0</v>
      </c>
    </row>
    <row r="986">
      <c r="A986" s="16" t="s">
        <v>1112</v>
      </c>
      <c r="B986" s="30">
        <v>46044.00070474537</v>
      </c>
      <c r="D986" s="17">
        <v>0.0</v>
      </c>
    </row>
    <row r="987">
      <c r="A987" s="16" t="s">
        <v>1113</v>
      </c>
      <c r="B987" s="30">
        <v>46044.00070474537</v>
      </c>
      <c r="D987" s="17">
        <v>0.0</v>
      </c>
    </row>
    <row r="988">
      <c r="A988" s="16" t="s">
        <v>1114</v>
      </c>
      <c r="B988" s="30">
        <v>46044.00070474537</v>
      </c>
      <c r="D988" s="17">
        <v>0.0</v>
      </c>
    </row>
    <row r="989">
      <c r="A989" s="16" t="s">
        <v>1115</v>
      </c>
      <c r="B989" s="30">
        <v>46044.00070474537</v>
      </c>
      <c r="D989" s="17">
        <v>0.0</v>
      </c>
    </row>
    <row r="990">
      <c r="A990" s="16" t="s">
        <v>1116</v>
      </c>
      <c r="B990" s="30">
        <v>46044.00070474537</v>
      </c>
      <c r="D990" s="17">
        <v>0.0</v>
      </c>
    </row>
    <row r="991">
      <c r="A991" s="16" t="s">
        <v>1117</v>
      </c>
      <c r="B991" s="30">
        <v>46044.00070474537</v>
      </c>
      <c r="D991" s="17">
        <v>0.0</v>
      </c>
    </row>
    <row r="992">
      <c r="A992" s="16" t="s">
        <v>1118</v>
      </c>
      <c r="B992" s="30">
        <v>46044.00070474537</v>
      </c>
      <c r="D992" s="17">
        <v>0.0</v>
      </c>
    </row>
    <row r="993">
      <c r="A993" s="16" t="s">
        <v>1119</v>
      </c>
      <c r="B993" s="30">
        <v>46044.00070474537</v>
      </c>
      <c r="D993" s="17">
        <v>0.0</v>
      </c>
    </row>
    <row r="994">
      <c r="A994" s="16" t="s">
        <v>1120</v>
      </c>
      <c r="B994" s="30">
        <v>46044.00070474537</v>
      </c>
      <c r="D994" s="17">
        <v>0.0</v>
      </c>
    </row>
    <row r="995">
      <c r="A995" s="16" t="s">
        <v>1121</v>
      </c>
      <c r="B995" s="30">
        <v>46044.00070474537</v>
      </c>
      <c r="D995" s="17">
        <v>0.0</v>
      </c>
    </row>
    <row r="996">
      <c r="A996" s="16" t="s">
        <v>1122</v>
      </c>
      <c r="B996" s="30">
        <v>46044.000704756945</v>
      </c>
      <c r="D996" s="17">
        <v>0.0</v>
      </c>
    </row>
    <row r="997">
      <c r="A997" s="16" t="s">
        <v>1123</v>
      </c>
      <c r="B997" s="30">
        <v>46044.000704756945</v>
      </c>
      <c r="D997" s="17">
        <v>0.0</v>
      </c>
    </row>
    <row r="998">
      <c r="A998" s="16" t="s">
        <v>1124</v>
      </c>
      <c r="B998" s="30">
        <v>46044.000704756945</v>
      </c>
      <c r="D998" s="17">
        <v>0.0</v>
      </c>
    </row>
    <row r="999">
      <c r="A999" s="16" t="s">
        <v>1125</v>
      </c>
      <c r="B999" s="30">
        <v>46044.000704756945</v>
      </c>
      <c r="D999" s="17">
        <v>0.0</v>
      </c>
    </row>
    <row r="1000">
      <c r="A1000" s="16" t="s">
        <v>1126</v>
      </c>
      <c r="B1000" s="30">
        <v>46044.000704756945</v>
      </c>
      <c r="D1000" s="17">
        <v>0.0</v>
      </c>
    </row>
    <row r="1001">
      <c r="A1001" s="16" t="s">
        <v>1127</v>
      </c>
      <c r="B1001" s="30">
        <v>46044.000704756945</v>
      </c>
      <c r="C1001" s="16" t="s">
        <v>1129</v>
      </c>
      <c r="D1001" s="17">
        <v>8.0</v>
      </c>
      <c r="E1001" s="23" t="s">
        <v>1130</v>
      </c>
      <c r="F1001" s="16" t="s">
        <v>1128</v>
      </c>
    </row>
    <row r="1002">
      <c r="A1002" s="16" t="s">
        <v>1132</v>
      </c>
      <c r="B1002" s="30">
        <v>46044.000704756945</v>
      </c>
      <c r="C1002" s="16" t="s">
        <v>1133</v>
      </c>
      <c r="D1002" s="17">
        <v>5.0</v>
      </c>
      <c r="E1002" s="23" t="s">
        <v>1130</v>
      </c>
      <c r="F1002" s="16" t="s">
        <v>1128</v>
      </c>
    </row>
    <row r="1003">
      <c r="A1003" s="16" t="s">
        <v>1134</v>
      </c>
      <c r="B1003" s="30">
        <v>46044.000704756945</v>
      </c>
      <c r="C1003" s="23" t="s">
        <v>1135</v>
      </c>
      <c r="D1003" s="17">
        <v>0.0</v>
      </c>
      <c r="E1003" s="23" t="s">
        <v>1136</v>
      </c>
      <c r="F1003" s="16" t="s">
        <v>1128</v>
      </c>
    </row>
    <row r="1004">
      <c r="A1004" s="16" t="s">
        <v>1137</v>
      </c>
      <c r="B1004" s="30">
        <v>46044.000704756945</v>
      </c>
      <c r="C1004" s="16" t="s">
        <v>127</v>
      </c>
      <c r="D1004" s="17">
        <v>0.0</v>
      </c>
      <c r="E1004" s="23" t="s">
        <v>1139</v>
      </c>
    </row>
    <row r="1005">
      <c r="A1005" s="16" t="s">
        <v>1141</v>
      </c>
      <c r="B1005" s="30">
        <v>46044.000704756945</v>
      </c>
      <c r="C1005" s="16" t="s">
        <v>127</v>
      </c>
      <c r="D1005" s="17">
        <v>0.0</v>
      </c>
      <c r="E1005" s="23" t="s">
        <v>1139</v>
      </c>
    </row>
    <row r="1006">
      <c r="A1006" s="16" t="s">
        <v>1142</v>
      </c>
      <c r="B1006" s="30">
        <v>46044.000704756945</v>
      </c>
      <c r="C1006" s="30">
        <v>46043.906879999995</v>
      </c>
      <c r="D1006" s="17">
        <v>0.0</v>
      </c>
      <c r="E1006" s="23" t="s">
        <v>1144</v>
      </c>
      <c r="F1006" s="16" t="s">
        <v>1143</v>
      </c>
    </row>
    <row r="1007">
      <c r="A1007" s="16" t="s">
        <v>1145</v>
      </c>
      <c r="B1007" s="30">
        <v>46044.000704756945</v>
      </c>
      <c r="C1007" s="30">
        <v>46043.906901469905</v>
      </c>
      <c r="D1007" s="17">
        <v>0.0</v>
      </c>
      <c r="E1007" s="23" t="s">
        <v>1144</v>
      </c>
      <c r="F1007" s="16" t="s">
        <v>1146</v>
      </c>
    </row>
    <row r="1008">
      <c r="A1008" s="16" t="s">
        <v>1147</v>
      </c>
      <c r="B1008" s="30">
        <v>46044.000704756945</v>
      </c>
      <c r="C1008" s="16" t="s">
        <v>127</v>
      </c>
      <c r="D1008" s="17">
        <v>0.0</v>
      </c>
      <c r="E1008" s="23" t="s">
        <v>1139</v>
      </c>
    </row>
    <row r="1009">
      <c r="A1009" s="16" t="s">
        <v>1149</v>
      </c>
      <c r="B1009" s="30">
        <v>46044.000704756945</v>
      </c>
      <c r="C1009" s="30">
        <v>46043.90693556713</v>
      </c>
      <c r="D1009" s="17">
        <v>0.0</v>
      </c>
      <c r="E1009" s="23" t="s">
        <v>1144</v>
      </c>
      <c r="F1009" s="16" t="s">
        <v>1150</v>
      </c>
    </row>
    <row r="1010">
      <c r="A1010" s="16" t="s">
        <v>1151</v>
      </c>
      <c r="B1010" s="30">
        <v>46044.000704756945</v>
      </c>
      <c r="C1010" s="30">
        <v>46043.9069487963</v>
      </c>
      <c r="D1010" s="17">
        <v>0.0</v>
      </c>
      <c r="E1010" s="23" t="s">
        <v>1144</v>
      </c>
      <c r="F1010" s="16" t="s">
        <v>1152</v>
      </c>
    </row>
    <row r="1011">
      <c r="A1011" s="16" t="s">
        <v>1153</v>
      </c>
      <c r="B1011" s="30">
        <v>46044.000704756945</v>
      </c>
      <c r="C1011" s="30">
        <v>46043.9120462037</v>
      </c>
      <c r="D1011" s="17">
        <v>0.0</v>
      </c>
      <c r="E1011" s="23" t="s">
        <v>1144</v>
      </c>
      <c r="F1011" s="16" t="s">
        <v>1143</v>
      </c>
    </row>
    <row r="1012">
      <c r="A1012" s="16" t="s">
        <v>1154</v>
      </c>
      <c r="B1012" s="30">
        <v>46044.000704756945</v>
      </c>
      <c r="C1012" s="30">
        <v>46043.912077534726</v>
      </c>
      <c r="D1012" s="17">
        <v>0.0</v>
      </c>
      <c r="E1012" s="23" t="s">
        <v>1144</v>
      </c>
      <c r="F1012" s="16" t="s">
        <v>1146</v>
      </c>
    </row>
    <row r="1013">
      <c r="A1013" s="16" t="s">
        <v>1155</v>
      </c>
      <c r="B1013" s="30">
        <v>46044.000704756945</v>
      </c>
      <c r="C1013" s="16" t="s">
        <v>127</v>
      </c>
      <c r="D1013" s="17">
        <v>0.0</v>
      </c>
      <c r="E1013" s="23" t="s">
        <v>1139</v>
      </c>
    </row>
    <row r="1014">
      <c r="A1014" s="16" t="s">
        <v>1156</v>
      </c>
      <c r="B1014" s="30">
        <v>46044.000704756945</v>
      </c>
      <c r="C1014" s="30">
        <v>46043.912109247685</v>
      </c>
      <c r="D1014" s="17">
        <v>0.0</v>
      </c>
      <c r="E1014" s="23" t="s">
        <v>1144</v>
      </c>
      <c r="F1014" s="16" t="s">
        <v>1150</v>
      </c>
    </row>
    <row r="1015">
      <c r="A1015" s="16" t="s">
        <v>1157</v>
      </c>
      <c r="B1015" s="30">
        <v>46044.000704756945</v>
      </c>
      <c r="C1015" s="30">
        <v>46043.91213768518</v>
      </c>
      <c r="D1015" s="17">
        <v>0.0</v>
      </c>
      <c r="E1015" s="23" t="s">
        <v>1144</v>
      </c>
      <c r="F1015" s="16" t="s">
        <v>1152</v>
      </c>
    </row>
    <row r="1016">
      <c r="A1016" s="16" t="s">
        <v>1158</v>
      </c>
      <c r="B1016" s="30">
        <v>46044.000704756945</v>
      </c>
      <c r="C1016" s="30">
        <v>46043.93097783565</v>
      </c>
      <c r="D1016" s="17">
        <v>0.0</v>
      </c>
      <c r="E1016" s="23" t="s">
        <v>1144</v>
      </c>
      <c r="F1016" s="16" t="s">
        <v>1159</v>
      </c>
    </row>
    <row r="1017">
      <c r="A1017" s="16" t="s">
        <v>1160</v>
      </c>
      <c r="B1017" s="30">
        <v>46044.000704756945</v>
      </c>
      <c r="C1017" s="30">
        <v>46043.977069409724</v>
      </c>
      <c r="D1017" s="17">
        <v>0.0</v>
      </c>
      <c r="E1017" s="23" t="s">
        <v>1144</v>
      </c>
      <c r="F1017" s="23" t="s">
        <v>1161</v>
      </c>
    </row>
    <row r="1018">
      <c r="A1018" s="16" t="s">
        <v>1162</v>
      </c>
      <c r="B1018" s="30">
        <v>46044.000704756945</v>
      </c>
      <c r="C1018" s="30">
        <v>46043.9771443287</v>
      </c>
      <c r="D1018" s="17">
        <v>0.0</v>
      </c>
      <c r="E1018" s="23" t="s">
        <v>1144</v>
      </c>
      <c r="F1018" s="23" t="s">
        <v>1161</v>
      </c>
    </row>
    <row r="1019">
      <c r="A1019" s="16" t="s">
        <v>1163</v>
      </c>
      <c r="B1019" s="30">
        <v>46044.000704756945</v>
      </c>
      <c r="C1019" s="30">
        <v>46043.977260162035</v>
      </c>
      <c r="D1019" s="17">
        <v>0.0</v>
      </c>
      <c r="E1019" s="23" t="s">
        <v>1144</v>
      </c>
      <c r="F1019" s="23" t="s">
        <v>1161</v>
      </c>
    </row>
    <row r="1020">
      <c r="A1020" s="16" t="s">
        <v>1164</v>
      </c>
      <c r="B1020" s="30">
        <v>46044.000704756945</v>
      </c>
      <c r="C1020" s="30">
        <v>46043.97739505787</v>
      </c>
      <c r="D1020" s="17">
        <v>0.0</v>
      </c>
      <c r="E1020" s="23" t="s">
        <v>1144</v>
      </c>
      <c r="F1020" s="23" t="s">
        <v>1161</v>
      </c>
    </row>
    <row r="1021">
      <c r="A1021" s="16" t="s">
        <v>1165</v>
      </c>
      <c r="B1021" s="30">
        <v>46044.000704756945</v>
      </c>
      <c r="C1021" s="30">
        <v>46043.97755766204</v>
      </c>
      <c r="D1021" s="17">
        <v>0.0</v>
      </c>
      <c r="E1021" s="23" t="s">
        <v>1144</v>
      </c>
      <c r="F1021" s="23" t="s">
        <v>1161</v>
      </c>
    </row>
    <row r="1022">
      <c r="A1022" s="16" t="s">
        <v>1166</v>
      </c>
      <c r="B1022" s="30">
        <v>46044.000704756945</v>
      </c>
      <c r="C1022" s="30">
        <v>46043.97784075231</v>
      </c>
      <c r="D1022" s="17">
        <v>0.0</v>
      </c>
      <c r="E1022" s="23" t="s">
        <v>1144</v>
      </c>
      <c r="F1022" s="23" t="s">
        <v>1161</v>
      </c>
    </row>
    <row r="1023">
      <c r="A1023" s="16" t="s">
        <v>1167</v>
      </c>
      <c r="B1023" s="30">
        <v>46044.000704756945</v>
      </c>
      <c r="C1023" s="30">
        <v>46043.97832444444</v>
      </c>
      <c r="D1023" s="17">
        <v>0.0</v>
      </c>
      <c r="E1023" s="23" t="s">
        <v>1144</v>
      </c>
      <c r="F1023" s="23" t="s">
        <v>1161</v>
      </c>
    </row>
    <row r="1024">
      <c r="A1024" s="16" t="s">
        <v>1168</v>
      </c>
      <c r="B1024" s="30">
        <v>46044.000704756945</v>
      </c>
      <c r="C1024" s="30">
        <v>46043.97916236111</v>
      </c>
      <c r="D1024" s="17">
        <v>0.0</v>
      </c>
      <c r="E1024" s="23" t="s">
        <v>1144</v>
      </c>
      <c r="F1024" s="23" t="s">
        <v>1161</v>
      </c>
    </row>
    <row r="1025">
      <c r="A1025" s="16" t="s">
        <v>1169</v>
      </c>
      <c r="B1025" s="30">
        <v>46044.000704756945</v>
      </c>
      <c r="C1025" s="30">
        <v>46043.9802337037</v>
      </c>
      <c r="D1025" s="17">
        <v>0.0</v>
      </c>
      <c r="E1025" s="23" t="s">
        <v>1144</v>
      </c>
      <c r="F1025" s="23" t="s">
        <v>1161</v>
      </c>
    </row>
    <row r="1026">
      <c r="A1026" s="16" t="s">
        <v>1170</v>
      </c>
      <c r="B1026" s="30">
        <v>46044.000704756945</v>
      </c>
      <c r="C1026" s="30">
        <v>46043.9844646875</v>
      </c>
      <c r="D1026" s="17">
        <v>0.0</v>
      </c>
      <c r="E1026" s="23" t="s">
        <v>1144</v>
      </c>
      <c r="F1026" s="16" t="s">
        <v>1140</v>
      </c>
    </row>
    <row r="1027">
      <c r="A1027" s="16" t="s">
        <v>1171</v>
      </c>
      <c r="B1027" s="27">
        <v>46044.00288696759</v>
      </c>
      <c r="C1027" s="23" t="s">
        <v>1175</v>
      </c>
      <c r="D1027" s="17">
        <v>239.05</v>
      </c>
      <c r="E1027" s="23" t="s">
        <v>1130</v>
      </c>
      <c r="F1027" s="16" t="s">
        <v>1172</v>
      </c>
    </row>
    <row r="1028">
      <c r="A1028" s="16" t="s">
        <v>1507</v>
      </c>
      <c r="B1028" s="27">
        <v>46044.01237806713</v>
      </c>
      <c r="C1028" s="23" t="s">
        <v>1175</v>
      </c>
      <c r="D1028" s="17">
        <v>239.05</v>
      </c>
      <c r="E1028" s="23" t="s">
        <v>1508</v>
      </c>
      <c r="F1028" s="16" t="s">
        <v>1172</v>
      </c>
    </row>
    <row r="1029">
      <c r="A1029" s="16" t="s">
        <v>1509</v>
      </c>
      <c r="B1029" s="27">
        <v>46044.05068939815</v>
      </c>
      <c r="C1029" s="23" t="s">
        <v>1205</v>
      </c>
      <c r="D1029" s="17">
        <v>10.0</v>
      </c>
      <c r="E1029" s="23" t="s">
        <v>1176</v>
      </c>
      <c r="F1029" s="16" t="s">
        <v>1143</v>
      </c>
    </row>
    <row r="1030">
      <c r="A1030" s="16" t="s">
        <v>1178</v>
      </c>
      <c r="B1030" s="27">
        <v>46044.05073322917</v>
      </c>
      <c r="C1030" s="23" t="s">
        <v>1179</v>
      </c>
      <c r="D1030" s="17">
        <v>5.0</v>
      </c>
      <c r="E1030" s="23" t="s">
        <v>1176</v>
      </c>
      <c r="F1030" s="16" t="s">
        <v>1146</v>
      </c>
    </row>
    <row r="1031">
      <c r="A1031" s="27">
        <v>46044.050775578704</v>
      </c>
      <c r="B1031" s="16" t="s">
        <v>1128</v>
      </c>
      <c r="C1031" s="16">
        <v>1.0</v>
      </c>
      <c r="D1031" s="23" t="s">
        <v>1182</v>
      </c>
      <c r="E1031" s="16" t="s">
        <v>1148</v>
      </c>
      <c r="F1031" s="16"/>
    </row>
    <row r="1032">
      <c r="A1032" s="16" t="s">
        <v>1184</v>
      </c>
      <c r="B1032" s="27">
        <v>46044.050788611115</v>
      </c>
      <c r="C1032" s="16" t="s">
        <v>1185</v>
      </c>
      <c r="D1032" s="16">
        <v>1.0</v>
      </c>
      <c r="E1032" s="23" t="s">
        <v>1182</v>
      </c>
      <c r="F1032" s="16" t="s">
        <v>1150</v>
      </c>
    </row>
    <row r="1033">
      <c r="A1033" s="16" t="s">
        <v>1186</v>
      </c>
      <c r="B1033" s="27">
        <v>46044.05080737268</v>
      </c>
      <c r="C1033" s="16" t="s">
        <v>1187</v>
      </c>
      <c r="D1033" s="16">
        <v>2.0</v>
      </c>
      <c r="E1033" s="23" t="s">
        <v>1188</v>
      </c>
      <c r="F1033" s="16" t="s">
        <v>1152</v>
      </c>
    </row>
    <row r="1034">
      <c r="A1034" s="16" t="s">
        <v>1190</v>
      </c>
      <c r="B1034" s="27">
        <v>46044.076831909726</v>
      </c>
      <c r="C1034" s="23" t="s">
        <v>1192</v>
      </c>
      <c r="D1034" s="16">
        <v>0.0</v>
      </c>
      <c r="E1034" s="23" t="s">
        <v>1192</v>
      </c>
      <c r="F1034" s="23" t="s">
        <v>1191</v>
      </c>
    </row>
    <row r="1035">
      <c r="A1035" s="16" t="s">
        <v>1194</v>
      </c>
      <c r="B1035" s="27">
        <v>46044.56081386574</v>
      </c>
      <c r="C1035" s="16" t="s">
        <v>1133</v>
      </c>
      <c r="D1035" s="16">
        <v>1.0</v>
      </c>
      <c r="E1035" s="23" t="s">
        <v>1196</v>
      </c>
      <c r="F1035" s="16" t="s">
        <v>1140</v>
      </c>
    </row>
    <row r="1036">
      <c r="A1036" s="16" t="s">
        <v>1199</v>
      </c>
      <c r="B1036" s="27">
        <v>46044.69881494213</v>
      </c>
      <c r="C1036" s="16" t="s">
        <v>1200</v>
      </c>
      <c r="D1036" s="16">
        <v>115.0</v>
      </c>
      <c r="E1036" s="23" t="s">
        <v>1196</v>
      </c>
      <c r="F1036" s="16" t="s">
        <v>1140</v>
      </c>
    </row>
    <row r="1037">
      <c r="A1037" s="16" t="s">
        <v>1203</v>
      </c>
      <c r="B1037" s="27">
        <v>46046.22518047453</v>
      </c>
      <c r="C1037" s="23" t="s">
        <v>1205</v>
      </c>
      <c r="D1037" s="16">
        <v>10.0</v>
      </c>
      <c r="E1037" s="23" t="s">
        <v>1176</v>
      </c>
      <c r="F1037" s="16" t="s">
        <v>1143</v>
      </c>
    </row>
    <row r="1038">
      <c r="A1038" s="16" t="s">
        <v>1510</v>
      </c>
      <c r="B1038" s="27">
        <v>46046.225215266204</v>
      </c>
      <c r="C1038" s="23" t="s">
        <v>1179</v>
      </c>
      <c r="D1038" s="16">
        <v>5.0</v>
      </c>
      <c r="E1038" s="16" t="s">
        <v>97</v>
      </c>
      <c r="F1038" s="16" t="s">
        <v>1146</v>
      </c>
    </row>
    <row r="1039">
      <c r="A1039" s="27">
        <v>46046.225238865736</v>
      </c>
      <c r="B1039" s="16" t="s">
        <v>1128</v>
      </c>
      <c r="C1039" s="16">
        <v>1.0</v>
      </c>
      <c r="D1039" s="23" t="s">
        <v>1182</v>
      </c>
      <c r="E1039" s="16" t="s">
        <v>1148</v>
      </c>
      <c r="F1039" s="16"/>
    </row>
    <row r="1040">
      <c r="A1040" s="16" t="s">
        <v>1207</v>
      </c>
      <c r="B1040" s="27">
        <v>46046.22526876157</v>
      </c>
      <c r="C1040" s="16" t="s">
        <v>1185</v>
      </c>
      <c r="D1040" s="16">
        <v>1.0</v>
      </c>
      <c r="E1040" s="23" t="s">
        <v>1182</v>
      </c>
      <c r="F1040" s="16" t="s">
        <v>1150</v>
      </c>
    </row>
    <row r="1041">
      <c r="A1041" s="16" t="s">
        <v>1208</v>
      </c>
      <c r="B1041" s="27">
        <v>46046.22528171296</v>
      </c>
      <c r="C1041" s="16" t="s">
        <v>1187</v>
      </c>
      <c r="D1041" s="16">
        <v>2.0</v>
      </c>
      <c r="E1041" s="23" t="s">
        <v>1188</v>
      </c>
      <c r="F1041" s="16" t="s">
        <v>1152</v>
      </c>
    </row>
    <row r="1042">
      <c r="A1042" s="16" t="s">
        <v>1511</v>
      </c>
      <c r="B1042" s="27">
        <v>46046.23800972222</v>
      </c>
      <c r="C1042" s="23" t="s">
        <v>1205</v>
      </c>
      <c r="D1042" s="16">
        <v>10.0</v>
      </c>
      <c r="E1042" s="23" t="s">
        <v>1176</v>
      </c>
      <c r="F1042" s="16" t="s">
        <v>1143</v>
      </c>
    </row>
    <row r="1043">
      <c r="A1043" s="16" t="s">
        <v>1512</v>
      </c>
      <c r="B1043" s="27">
        <v>46046.238047499995</v>
      </c>
      <c r="C1043" s="23" t="s">
        <v>1179</v>
      </c>
      <c r="D1043" s="16">
        <v>5.0</v>
      </c>
      <c r="E1043" s="16" t="s">
        <v>97</v>
      </c>
      <c r="F1043" s="16" t="s">
        <v>1146</v>
      </c>
    </row>
    <row r="1044">
      <c r="A1044" s="27">
        <v>46046.238074340275</v>
      </c>
      <c r="B1044" s="16" t="s">
        <v>1128</v>
      </c>
      <c r="C1044" s="16">
        <v>1.0</v>
      </c>
      <c r="D1044" s="23" t="s">
        <v>1182</v>
      </c>
      <c r="E1044" s="16" t="s">
        <v>1148</v>
      </c>
      <c r="F1044" s="16"/>
    </row>
    <row r="1045">
      <c r="A1045" s="16" t="s">
        <v>1513</v>
      </c>
      <c r="B1045" s="27">
        <v>46046.23810663194</v>
      </c>
      <c r="C1045" s="16" t="s">
        <v>1185</v>
      </c>
      <c r="D1045" s="16">
        <v>1.0</v>
      </c>
      <c r="E1045" s="23" t="s">
        <v>1182</v>
      </c>
      <c r="F1045" s="16" t="s">
        <v>1150</v>
      </c>
    </row>
    <row r="1046">
      <c r="A1046" s="16" t="s">
        <v>1514</v>
      </c>
      <c r="B1046" s="27">
        <v>46046.23813304398</v>
      </c>
      <c r="C1046" s="16" t="s">
        <v>1187</v>
      </c>
      <c r="D1046" s="16">
        <v>2.0</v>
      </c>
      <c r="E1046" s="23" t="s">
        <v>1188</v>
      </c>
      <c r="F1046" s="16" t="s">
        <v>1152</v>
      </c>
    </row>
    <row r="1047">
      <c r="A1047" s="16" t="s">
        <v>1515</v>
      </c>
      <c r="B1047" s="27">
        <v>46046.238511076386</v>
      </c>
      <c r="C1047" s="16" t="s">
        <v>1516</v>
      </c>
      <c r="D1047" s="16">
        <v>125.75</v>
      </c>
      <c r="E1047" s="16" t="s">
        <v>97</v>
      </c>
      <c r="F1047" s="16" t="s">
        <v>1517</v>
      </c>
    </row>
    <row r="1048">
      <c r="A1048" s="16" t="s">
        <v>1518</v>
      </c>
      <c r="B1048" s="27">
        <v>46046.65976861111</v>
      </c>
      <c r="C1048" s="23" t="s">
        <v>1519</v>
      </c>
      <c r="D1048" s="16">
        <v>125.5</v>
      </c>
      <c r="E1048" s="23" t="s">
        <v>1176</v>
      </c>
      <c r="F1048" s="16" t="s">
        <v>1520</v>
      </c>
    </row>
    <row r="1049">
      <c r="A1049" s="16" t="s">
        <v>1521</v>
      </c>
      <c r="B1049" s="27">
        <v>46046.659821724534</v>
      </c>
      <c r="C1049" s="23" t="s">
        <v>1522</v>
      </c>
      <c r="D1049" s="16">
        <v>45.0</v>
      </c>
      <c r="E1049" s="23" t="s">
        <v>1176</v>
      </c>
      <c r="F1049" s="16" t="s">
        <v>1520</v>
      </c>
    </row>
    <row r="1050">
      <c r="A1050" s="16" t="s">
        <v>1523</v>
      </c>
      <c r="B1050" s="27">
        <v>46046.659866828704</v>
      </c>
      <c r="C1050" s="23" t="s">
        <v>1524</v>
      </c>
      <c r="D1050" s="16">
        <v>200.0</v>
      </c>
      <c r="E1050" s="23" t="s">
        <v>1176</v>
      </c>
      <c r="F1050" s="16" t="s">
        <v>1520</v>
      </c>
    </row>
    <row r="1051">
      <c r="A1051" s="16" t="s">
        <v>1525</v>
      </c>
      <c r="B1051" s="27">
        <v>46046.65991015046</v>
      </c>
      <c r="C1051" s="23" t="s">
        <v>1526</v>
      </c>
      <c r="D1051" s="16">
        <v>10000.0</v>
      </c>
      <c r="E1051" s="23" t="s">
        <v>1527</v>
      </c>
      <c r="F1051" s="16" t="s">
        <v>1520</v>
      </c>
    </row>
    <row r="1052">
      <c r="A1052" s="16" t="s">
        <v>1528</v>
      </c>
      <c r="B1052" s="27">
        <v>46046.65997872685</v>
      </c>
      <c r="C1052" s="23" t="s">
        <v>1529</v>
      </c>
      <c r="D1052" s="16">
        <v>1000.0</v>
      </c>
      <c r="E1052" s="23" t="s">
        <v>1227</v>
      </c>
      <c r="F1052" s="16" t="s">
        <v>1520</v>
      </c>
    </row>
    <row r="1053">
      <c r="A1053" s="16" t="s">
        <v>1209</v>
      </c>
      <c r="B1053" s="27">
        <v>46046.660790775466</v>
      </c>
      <c r="C1053" s="16" t="s">
        <v>1210</v>
      </c>
      <c r="D1053" s="16">
        <v>50.0</v>
      </c>
      <c r="E1053" s="16" t="s">
        <v>1211</v>
      </c>
      <c r="F1053" s="16" t="s">
        <v>1140</v>
      </c>
    </row>
    <row r="1054">
      <c r="A1054" s="16" t="s">
        <v>1214</v>
      </c>
      <c r="B1054" s="27">
        <v>46046.670902638885</v>
      </c>
      <c r="C1054" s="16" t="s">
        <v>1215</v>
      </c>
      <c r="D1054" s="16">
        <v>25.15</v>
      </c>
      <c r="E1054" s="23" t="s">
        <v>1196</v>
      </c>
      <c r="F1054" s="16" t="s">
        <v>1140</v>
      </c>
    </row>
    <row r="1055">
      <c r="A1055" s="16" t="s">
        <v>1217</v>
      </c>
      <c r="B1055" s="27">
        <v>46046.69415059028</v>
      </c>
      <c r="C1055" s="16" t="s">
        <v>1218</v>
      </c>
      <c r="D1055" s="16">
        <v>3.5</v>
      </c>
      <c r="E1055" s="16" t="s">
        <v>1211</v>
      </c>
      <c r="F1055" s="16" t="s">
        <v>1140</v>
      </c>
    </row>
    <row r="1056">
      <c r="A1056" s="16" t="s">
        <v>1220</v>
      </c>
      <c r="B1056" s="27">
        <v>46046.769327766204</v>
      </c>
      <c r="C1056" s="23" t="s">
        <v>1221</v>
      </c>
      <c r="D1056" s="16">
        <v>150.0</v>
      </c>
      <c r="E1056" s="23" t="s">
        <v>1222</v>
      </c>
      <c r="F1056" s="16" t="s">
        <v>1140</v>
      </c>
    </row>
    <row r="1057">
      <c r="A1057" s="16" t="s">
        <v>1225</v>
      </c>
      <c r="B1057" s="27">
        <v>46046.76945841435</v>
      </c>
      <c r="C1057" s="23" t="s">
        <v>1226</v>
      </c>
      <c r="D1057" s="16">
        <v>150.0</v>
      </c>
      <c r="E1057" s="23" t="s">
        <v>1227</v>
      </c>
      <c r="F1057" s="16" t="s">
        <v>1140</v>
      </c>
    </row>
    <row r="1058">
      <c r="A1058" s="16" t="s">
        <v>1230</v>
      </c>
      <c r="B1058" s="27">
        <v>46046.856489768514</v>
      </c>
      <c r="C1058" s="23" t="s">
        <v>1205</v>
      </c>
      <c r="D1058" s="16">
        <v>10.0</v>
      </c>
      <c r="E1058" s="23" t="s">
        <v>1176</v>
      </c>
      <c r="F1058" s="16" t="s">
        <v>1143</v>
      </c>
    </row>
    <row r="1059">
      <c r="A1059" s="16" t="s">
        <v>1231</v>
      </c>
      <c r="B1059" s="27">
        <v>46046.85653362269</v>
      </c>
      <c r="C1059" s="23" t="s">
        <v>1179</v>
      </c>
      <c r="D1059" s="16">
        <v>5.0</v>
      </c>
      <c r="E1059" s="23" t="s">
        <v>1176</v>
      </c>
      <c r="F1059" s="16" t="s">
        <v>1146</v>
      </c>
    </row>
    <row r="1060">
      <c r="A1060" s="16" t="s">
        <v>1232</v>
      </c>
      <c r="B1060" s="27">
        <v>46046.85658371528</v>
      </c>
      <c r="C1060" s="23" t="s">
        <v>1205</v>
      </c>
      <c r="D1060" s="16">
        <v>10.0</v>
      </c>
      <c r="E1060" s="23" t="s">
        <v>1176</v>
      </c>
      <c r="F1060" s="16" t="s">
        <v>1143</v>
      </c>
    </row>
    <row r="1061">
      <c r="A1061" s="27">
        <v>46046.85656586806</v>
      </c>
      <c r="B1061" s="16" t="s">
        <v>1128</v>
      </c>
      <c r="C1061" s="16">
        <v>1.0</v>
      </c>
      <c r="D1061" s="23" t="s">
        <v>1182</v>
      </c>
      <c r="E1061" s="16" t="s">
        <v>1148</v>
      </c>
      <c r="F1061" s="16"/>
    </row>
    <row r="1062">
      <c r="A1062" s="16" t="s">
        <v>1233</v>
      </c>
      <c r="B1062" s="27">
        <v>46046.85661189815</v>
      </c>
      <c r="C1062" s="16" t="s">
        <v>1185</v>
      </c>
      <c r="D1062" s="16">
        <v>1.0</v>
      </c>
      <c r="E1062" s="23" t="s">
        <v>1182</v>
      </c>
      <c r="F1062" s="16" t="s">
        <v>1150</v>
      </c>
    </row>
    <row r="1063">
      <c r="A1063" s="16" t="s">
        <v>1234</v>
      </c>
      <c r="B1063" s="27">
        <v>46046.856644513886</v>
      </c>
      <c r="C1063" s="23" t="s">
        <v>1179</v>
      </c>
      <c r="D1063" s="16">
        <v>5.0</v>
      </c>
      <c r="E1063" s="16" t="s">
        <v>97</v>
      </c>
      <c r="F1063" s="16" t="s">
        <v>1146</v>
      </c>
    </row>
    <row r="1064">
      <c r="A1064" s="16" t="s">
        <v>1235</v>
      </c>
      <c r="B1064" s="27">
        <v>46046.856651608796</v>
      </c>
      <c r="C1064" s="16" t="s">
        <v>1187</v>
      </c>
      <c r="D1064" s="16">
        <v>2.0</v>
      </c>
      <c r="E1064" s="23" t="s">
        <v>1188</v>
      </c>
      <c r="F1064" s="16" t="s">
        <v>1152</v>
      </c>
    </row>
    <row r="1065">
      <c r="A1065" s="27">
        <v>46046.856695995375</v>
      </c>
      <c r="B1065" s="16" t="s">
        <v>1128</v>
      </c>
      <c r="C1065" s="16">
        <v>1.0</v>
      </c>
      <c r="D1065" s="23" t="s">
        <v>1182</v>
      </c>
      <c r="E1065" s="16" t="s">
        <v>1148</v>
      </c>
      <c r="F1065" s="16"/>
    </row>
    <row r="1066">
      <c r="A1066" s="16" t="s">
        <v>1236</v>
      </c>
      <c r="B1066" s="27">
        <v>46046.8567125463</v>
      </c>
      <c r="C1066" s="16" t="s">
        <v>1185</v>
      </c>
      <c r="D1066" s="16">
        <v>1.0</v>
      </c>
      <c r="E1066" s="23" t="s">
        <v>1182</v>
      </c>
      <c r="F1066" s="16" t="s">
        <v>1150</v>
      </c>
    </row>
    <row r="1067">
      <c r="A1067" s="16" t="s">
        <v>1237</v>
      </c>
      <c r="B1067" s="27">
        <v>46046.85673049769</v>
      </c>
      <c r="C1067" s="16" t="s">
        <v>1187</v>
      </c>
      <c r="D1067" s="16">
        <v>2.0</v>
      </c>
      <c r="E1067" s="23" t="s">
        <v>1188</v>
      </c>
      <c r="F1067" s="16" t="s">
        <v>1152</v>
      </c>
    </row>
    <row r="1068">
      <c r="A1068" s="16" t="s">
        <v>1530</v>
      </c>
      <c r="B1068" s="27">
        <v>46046.857685173614</v>
      </c>
      <c r="C1068" s="16" t="s">
        <v>1516</v>
      </c>
      <c r="D1068" s="16">
        <v>125.75</v>
      </c>
      <c r="E1068" s="16" t="s">
        <v>97</v>
      </c>
      <c r="F1068" s="16" t="s">
        <v>1517</v>
      </c>
    </row>
    <row r="1069">
      <c r="A1069" s="16" t="s">
        <v>1238</v>
      </c>
      <c r="B1069" s="27">
        <v>46047.97088704861</v>
      </c>
      <c r="C1069" s="16" t="s">
        <v>1240</v>
      </c>
      <c r="D1069" s="16">
        <v>11.0</v>
      </c>
      <c r="E1069" s="23" t="s">
        <v>1196</v>
      </c>
      <c r="F1069" s="16" t="s">
        <v>1140</v>
      </c>
    </row>
    <row r="1070">
      <c r="A1070" s="16" t="s">
        <v>1242</v>
      </c>
      <c r="B1070" s="27">
        <v>46048.00050258102</v>
      </c>
      <c r="C1070" s="16" t="s">
        <v>1246</v>
      </c>
      <c r="D1070" s="16">
        <v>15.0</v>
      </c>
      <c r="E1070" s="23" t="s">
        <v>1247</v>
      </c>
      <c r="F1070" s="16" t="s">
        <v>1244</v>
      </c>
    </row>
    <row r="1071">
      <c r="A1071" s="16" t="s">
        <v>1531</v>
      </c>
      <c r="B1071" s="27">
        <v>46048.013123171295</v>
      </c>
      <c r="C1071" s="16" t="s">
        <v>1246</v>
      </c>
      <c r="D1071" s="16">
        <v>15.0</v>
      </c>
      <c r="E1071" s="23" t="s">
        <v>1247</v>
      </c>
      <c r="F1071" s="16" t="s">
        <v>1244</v>
      </c>
    </row>
    <row r="1072">
      <c r="A1072" s="16" t="s">
        <v>1532</v>
      </c>
      <c r="B1072" s="27">
        <v>46048.01451765046</v>
      </c>
      <c r="C1072" s="16" t="s">
        <v>1246</v>
      </c>
      <c r="D1072" s="16">
        <v>15.0</v>
      </c>
      <c r="E1072" s="23" t="s">
        <v>1247</v>
      </c>
      <c r="F1072" s="16" t="s">
        <v>1244</v>
      </c>
    </row>
  </sheetData>
  <mergeCells count="1">
    <mergeCell ref="A1:E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/>
  </sheetViews>
  <sheetFormatPr customHeight="1" defaultColWidth="12.63" defaultRowHeight="15.75"/>
  <sheetData>
    <row r="1">
      <c r="A1" s="60" t="s">
        <v>1533</v>
      </c>
      <c r="B1" s="60" t="s">
        <v>1534</v>
      </c>
      <c r="C1" s="60" t="s">
        <v>123</v>
      </c>
      <c r="D1" s="60" t="s">
        <v>1535</v>
      </c>
      <c r="E1" s="60" t="s">
        <v>1292</v>
      </c>
    </row>
    <row r="2">
      <c r="A2" s="16" t="s">
        <v>1536</v>
      </c>
      <c r="B2" s="23" t="s">
        <v>1537</v>
      </c>
      <c r="C2" s="23" t="s">
        <v>1222</v>
      </c>
      <c r="D2" s="16" t="s">
        <v>1538</v>
      </c>
      <c r="E2" s="23" t="s">
        <v>1539</v>
      </c>
    </row>
    <row r="3">
      <c r="A3" s="16" t="s">
        <v>1540</v>
      </c>
      <c r="B3" s="16" t="s">
        <v>1541</v>
      </c>
      <c r="C3" s="23" t="s">
        <v>1542</v>
      </c>
      <c r="D3" s="16" t="s">
        <v>1543</v>
      </c>
      <c r="E3" s="23" t="s">
        <v>1544</v>
      </c>
    </row>
    <row r="4">
      <c r="A4" s="16" t="s">
        <v>1545</v>
      </c>
      <c r="B4" s="16" t="s">
        <v>1546</v>
      </c>
      <c r="C4" s="23" t="s">
        <v>1542</v>
      </c>
      <c r="D4" s="16" t="s">
        <v>1543</v>
      </c>
      <c r="E4" s="23" t="s">
        <v>1544</v>
      </c>
    </row>
    <row r="5">
      <c r="A5" s="16" t="s">
        <v>1547</v>
      </c>
      <c r="B5" s="16" t="s">
        <v>1548</v>
      </c>
      <c r="C5" s="23" t="s">
        <v>1508</v>
      </c>
      <c r="D5" s="16" t="s">
        <v>1549</v>
      </c>
      <c r="E5" s="23" t="s">
        <v>1550</v>
      </c>
    </row>
    <row r="6">
      <c r="A6" s="16" t="s">
        <v>1551</v>
      </c>
      <c r="B6" s="23" t="s">
        <v>1552</v>
      </c>
      <c r="C6" s="23" t="s">
        <v>1553</v>
      </c>
      <c r="D6" s="16" t="s">
        <v>1549</v>
      </c>
      <c r="E6" s="23" t="s">
        <v>1554</v>
      </c>
    </row>
    <row r="7">
      <c r="A7" s="16" t="s">
        <v>1555</v>
      </c>
      <c r="B7" s="23" t="s">
        <v>1556</v>
      </c>
      <c r="C7" s="23" t="s">
        <v>1136</v>
      </c>
      <c r="D7" s="16" t="s">
        <v>1555</v>
      </c>
      <c r="E7" s="23" t="s">
        <v>1557</v>
      </c>
    </row>
    <row r="8">
      <c r="A8" s="16" t="s">
        <v>1558</v>
      </c>
      <c r="B8" s="23" t="s">
        <v>1559</v>
      </c>
      <c r="C8" s="23" t="s">
        <v>1136</v>
      </c>
      <c r="D8" s="16" t="s">
        <v>1558</v>
      </c>
      <c r="E8" s="23" t="s">
        <v>1560</v>
      </c>
    </row>
    <row r="9">
      <c r="A9" s="16" t="s">
        <v>1561</v>
      </c>
      <c r="B9" s="23" t="s">
        <v>1562</v>
      </c>
      <c r="C9" s="23" t="s">
        <v>1563</v>
      </c>
      <c r="D9" s="16" t="s">
        <v>1538</v>
      </c>
      <c r="E9" s="23" t="s">
        <v>1564</v>
      </c>
    </row>
    <row r="10">
      <c r="A10" s="16" t="s">
        <v>1565</v>
      </c>
      <c r="B10" s="23" t="s">
        <v>1566</v>
      </c>
      <c r="C10" s="23" t="s">
        <v>1567</v>
      </c>
      <c r="D10" s="16" t="s">
        <v>1538</v>
      </c>
      <c r="E10" s="23" t="s">
        <v>1568</v>
      </c>
    </row>
    <row r="11">
      <c r="A11" s="16" t="s">
        <v>1569</v>
      </c>
      <c r="B11" s="23" t="s">
        <v>1570</v>
      </c>
      <c r="C11" s="23" t="s">
        <v>1571</v>
      </c>
      <c r="D11" s="16" t="s">
        <v>1549</v>
      </c>
      <c r="E11" s="23" t="s">
        <v>1572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3" width="18.88"/>
    <col customWidth="1" min="4" max="4" width="15.13"/>
    <col customWidth="1" min="5" max="5" width="25.13"/>
    <col customWidth="1" min="6" max="6" width="31.38"/>
    <col customWidth="1" min="7" max="8" width="12.63"/>
    <col customWidth="1" min="9" max="9" width="31.38"/>
    <col customWidth="1" min="10" max="10" width="18.88"/>
  </cols>
  <sheetData>
    <row r="1">
      <c r="A1" s="61" t="s">
        <v>1573</v>
      </c>
      <c r="B1" s="62" t="s">
        <v>1574</v>
      </c>
      <c r="C1" s="62" t="s">
        <v>1575</v>
      </c>
      <c r="D1" s="62" t="s">
        <v>1576</v>
      </c>
      <c r="E1" s="61" t="s">
        <v>1577</v>
      </c>
      <c r="F1" s="61" t="s">
        <v>1578</v>
      </c>
      <c r="G1" s="61" t="s">
        <v>1296</v>
      </c>
      <c r="H1" s="62" t="s">
        <v>1579</v>
      </c>
      <c r="I1" s="62" t="s">
        <v>41</v>
      </c>
      <c r="J1" s="62" t="s">
        <v>1580</v>
      </c>
    </row>
    <row r="2">
      <c r="A2" s="16">
        <v>3281.0</v>
      </c>
      <c r="B2" s="23" t="s">
        <v>1298</v>
      </c>
      <c r="C2" s="16" t="s">
        <v>1297</v>
      </c>
      <c r="D2" s="16">
        <v>3281.0</v>
      </c>
      <c r="E2" s="16" t="s">
        <v>1581</v>
      </c>
      <c r="F2" s="16" t="s">
        <v>1582</v>
      </c>
      <c r="G2" s="16" t="s">
        <v>45</v>
      </c>
      <c r="H2" s="23" t="s">
        <v>1583</v>
      </c>
      <c r="I2" s="23" t="s">
        <v>1584</v>
      </c>
      <c r="J2" s="27">
        <v>46042.92512295139</v>
      </c>
    </row>
    <row r="3">
      <c r="A3" s="16">
        <v>4495.0</v>
      </c>
      <c r="B3" s="23" t="s">
        <v>1585</v>
      </c>
      <c r="C3" s="16" t="s">
        <v>1297</v>
      </c>
      <c r="D3" s="16">
        <v>4495.0</v>
      </c>
      <c r="E3" s="16" t="s">
        <v>1581</v>
      </c>
      <c r="F3" s="16" t="s">
        <v>1586</v>
      </c>
      <c r="G3" s="16" t="s">
        <v>45</v>
      </c>
      <c r="H3" s="23" t="s">
        <v>1583</v>
      </c>
      <c r="I3" s="16" t="s">
        <v>1587</v>
      </c>
      <c r="J3" s="27">
        <v>46042.92512730324</v>
      </c>
    </row>
    <row r="4">
      <c r="A4" s="16">
        <v>305.0</v>
      </c>
      <c r="B4" s="23" t="s">
        <v>1301</v>
      </c>
      <c r="C4" s="16" t="s">
        <v>1272</v>
      </c>
      <c r="D4" s="16">
        <v>305.0</v>
      </c>
      <c r="E4" s="16" t="s">
        <v>1588</v>
      </c>
      <c r="F4" s="16" t="s">
        <v>1589</v>
      </c>
      <c r="G4" s="16" t="s">
        <v>45</v>
      </c>
      <c r="H4" s="23" t="s">
        <v>1583</v>
      </c>
      <c r="I4" s="16" t="s">
        <v>1590</v>
      </c>
      <c r="J4" s="27">
        <v>46042.92513270833</v>
      </c>
    </row>
    <row r="5">
      <c r="A5" s="16">
        <v>9682.0</v>
      </c>
      <c r="B5" s="23" t="s">
        <v>1591</v>
      </c>
      <c r="C5" s="16" t="s">
        <v>1272</v>
      </c>
      <c r="D5" s="16">
        <v>9682.0</v>
      </c>
      <c r="E5" s="16" t="s">
        <v>1588</v>
      </c>
      <c r="F5" s="16" t="s">
        <v>1592</v>
      </c>
      <c r="G5" s="16" t="s">
        <v>45</v>
      </c>
      <c r="H5" s="23" t="s">
        <v>1583</v>
      </c>
      <c r="I5" s="16" t="s">
        <v>1593</v>
      </c>
      <c r="J5" s="27">
        <v>46042.92514927083</v>
      </c>
    </row>
    <row r="6">
      <c r="A6" s="16">
        <v>9765.0</v>
      </c>
      <c r="B6" s="23" t="s">
        <v>1305</v>
      </c>
      <c r="C6" s="23" t="s">
        <v>1304</v>
      </c>
      <c r="D6" s="16">
        <v>9765.0</v>
      </c>
      <c r="E6" s="16" t="s">
        <v>1594</v>
      </c>
      <c r="F6" s="23" t="s">
        <v>1595</v>
      </c>
      <c r="G6" s="16" t="s">
        <v>45</v>
      </c>
      <c r="H6" s="23" t="s">
        <v>1583</v>
      </c>
      <c r="I6" s="23" t="s">
        <v>1596</v>
      </c>
      <c r="J6" s="27">
        <v>46042.92515417824</v>
      </c>
    </row>
    <row r="7">
      <c r="A7" s="16">
        <v>9767.0</v>
      </c>
      <c r="B7" s="23" t="s">
        <v>1597</v>
      </c>
      <c r="C7" s="23" t="s">
        <v>1304</v>
      </c>
      <c r="D7" s="16">
        <v>9767.0</v>
      </c>
      <c r="E7" s="16" t="s">
        <v>1594</v>
      </c>
      <c r="F7" s="23" t="s">
        <v>1598</v>
      </c>
      <c r="G7" s="16" t="s">
        <v>45</v>
      </c>
      <c r="H7" s="23" t="s">
        <v>1583</v>
      </c>
      <c r="I7" s="23" t="s">
        <v>1599</v>
      </c>
      <c r="J7" s="27">
        <v>46042.92515877315</v>
      </c>
    </row>
    <row r="8">
      <c r="A8" s="16">
        <v>4912.0</v>
      </c>
      <c r="B8" s="23" t="s">
        <v>1301</v>
      </c>
      <c r="C8" s="23" t="s">
        <v>1304</v>
      </c>
      <c r="D8" s="16">
        <v>4912.0</v>
      </c>
      <c r="E8" s="16" t="s">
        <v>1594</v>
      </c>
      <c r="F8" s="23" t="s">
        <v>1600</v>
      </c>
      <c r="G8" s="16" t="s">
        <v>45</v>
      </c>
      <c r="H8" s="23" t="s">
        <v>1583</v>
      </c>
      <c r="I8" s="23" t="s">
        <v>1601</v>
      </c>
      <c r="J8" s="27">
        <v>46042.92516385417</v>
      </c>
    </row>
    <row r="9">
      <c r="A9" s="16">
        <v>5.0</v>
      </c>
      <c r="B9" s="23" t="s">
        <v>1602</v>
      </c>
      <c r="C9" s="23" t="s">
        <v>1603</v>
      </c>
      <c r="D9" s="16">
        <v>5.0</v>
      </c>
      <c r="E9" s="16" t="s">
        <v>1604</v>
      </c>
      <c r="F9" s="23" t="s">
        <v>1605</v>
      </c>
      <c r="G9" s="16" t="s">
        <v>45</v>
      </c>
      <c r="H9" s="23" t="s">
        <v>1583</v>
      </c>
      <c r="I9" s="23" t="s">
        <v>1606</v>
      </c>
      <c r="J9" s="27">
        <v>46042.92516837963</v>
      </c>
    </row>
    <row r="10">
      <c r="A10" s="16">
        <v>3449.0</v>
      </c>
      <c r="B10" s="23" t="s">
        <v>1301</v>
      </c>
      <c r="C10" s="16" t="s">
        <v>1607</v>
      </c>
      <c r="D10" s="16">
        <v>3449.0</v>
      </c>
      <c r="E10" s="16" t="s">
        <v>1608</v>
      </c>
      <c r="F10" s="23" t="s">
        <v>1609</v>
      </c>
      <c r="G10" s="16" t="s">
        <v>45</v>
      </c>
      <c r="H10" s="23" t="s">
        <v>1583</v>
      </c>
      <c r="I10" s="23" t="s">
        <v>1610</v>
      </c>
      <c r="J10" s="27">
        <v>46042.92518185185</v>
      </c>
    </row>
    <row r="11">
      <c r="A11" s="16" t="s">
        <v>1611</v>
      </c>
      <c r="B11" s="23" t="s">
        <v>1301</v>
      </c>
      <c r="C11" s="16" t="s">
        <v>1607</v>
      </c>
      <c r="D11" s="16">
        <v>4912.0</v>
      </c>
      <c r="E11" s="16" t="s">
        <v>1608</v>
      </c>
      <c r="F11" s="23" t="s">
        <v>1612</v>
      </c>
      <c r="G11" s="16" t="s">
        <v>45</v>
      </c>
      <c r="H11" s="23" t="s">
        <v>1583</v>
      </c>
      <c r="I11" s="23" t="s">
        <v>1613</v>
      </c>
      <c r="J11" s="27">
        <v>46042.92519214121</v>
      </c>
    </row>
    <row r="12">
      <c r="A12" s="16">
        <v>7815.0</v>
      </c>
      <c r="B12" s="23" t="s">
        <v>1591</v>
      </c>
      <c r="C12" s="16" t="s">
        <v>1607</v>
      </c>
      <c r="D12" s="16">
        <v>7815.0</v>
      </c>
      <c r="E12" s="16" t="s">
        <v>1608</v>
      </c>
      <c r="F12" s="23" t="s">
        <v>1614</v>
      </c>
      <c r="G12" s="16" t="s">
        <v>45</v>
      </c>
      <c r="H12" s="23" t="s">
        <v>1583</v>
      </c>
      <c r="I12" s="23" t="s">
        <v>1615</v>
      </c>
      <c r="J12" s="27">
        <v>46042.925196979166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63" t="s">
        <v>57</v>
      </c>
      <c r="B1" s="63" t="s">
        <v>1616</v>
      </c>
      <c r="C1" s="63" t="s">
        <v>98</v>
      </c>
      <c r="D1" s="63" t="s">
        <v>1617</v>
      </c>
      <c r="E1" s="63" t="s">
        <v>1618</v>
      </c>
      <c r="F1" s="63" t="s">
        <v>62</v>
      </c>
      <c r="G1" s="63" t="s">
        <v>1619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64" t="s">
        <v>114</v>
      </c>
      <c r="B1" s="64" t="s">
        <v>1620</v>
      </c>
      <c r="C1" s="64" t="s">
        <v>1621</v>
      </c>
      <c r="D1" s="64" t="s">
        <v>1622</v>
      </c>
      <c r="E1" s="64" t="s">
        <v>1295</v>
      </c>
      <c r="F1" s="64" t="s">
        <v>1292</v>
      </c>
      <c r="G1" s="64" t="s">
        <v>1296</v>
      </c>
      <c r="I1" s="16" t="s">
        <v>1623</v>
      </c>
    </row>
    <row r="2">
      <c r="A2" s="41"/>
      <c r="B2" s="41"/>
      <c r="C2" s="41"/>
      <c r="D2" s="41"/>
      <c r="E2" s="41">
        <f>C2-D2</f>
        <v>0</v>
      </c>
      <c r="F2" s="41"/>
      <c r="G2" s="41"/>
    </row>
    <row r="3">
      <c r="A3" s="41"/>
      <c r="B3" s="41"/>
      <c r="C3" s="41"/>
      <c r="D3" s="41"/>
      <c r="E3" s="41">
        <f t="shared" ref="E3:E1000" si="1">E2+C3-D3</f>
        <v>0</v>
      </c>
      <c r="F3" s="41"/>
      <c r="G3" s="41"/>
    </row>
    <row r="4">
      <c r="A4" s="41"/>
      <c r="B4" s="41"/>
      <c r="C4" s="41"/>
      <c r="D4" s="41"/>
      <c r="E4" s="41">
        <f t="shared" si="1"/>
        <v>0</v>
      </c>
      <c r="F4" s="41"/>
      <c r="G4" s="41"/>
    </row>
    <row r="5">
      <c r="A5" s="41"/>
      <c r="B5" s="41"/>
      <c r="C5" s="41"/>
      <c r="D5" s="41"/>
      <c r="E5" s="41">
        <f t="shared" si="1"/>
        <v>0</v>
      </c>
      <c r="F5" s="41"/>
      <c r="G5" s="41"/>
    </row>
    <row r="6">
      <c r="A6" s="41"/>
      <c r="B6" s="41"/>
      <c r="C6" s="41"/>
      <c r="D6" s="41"/>
      <c r="E6" s="41">
        <f t="shared" si="1"/>
        <v>0</v>
      </c>
      <c r="F6" s="41"/>
      <c r="G6" s="41"/>
    </row>
    <row r="7">
      <c r="A7" s="41"/>
      <c r="B7" s="41"/>
      <c r="C7" s="41"/>
      <c r="D7" s="41"/>
      <c r="E7" s="41">
        <f t="shared" si="1"/>
        <v>0</v>
      </c>
      <c r="F7" s="41"/>
      <c r="G7" s="41"/>
    </row>
    <row r="8">
      <c r="A8" s="41"/>
      <c r="B8" s="41"/>
      <c r="C8" s="41"/>
      <c r="D8" s="41"/>
      <c r="E8" s="41">
        <f t="shared" si="1"/>
        <v>0</v>
      </c>
      <c r="F8" s="41"/>
      <c r="G8" s="41"/>
    </row>
    <row r="9">
      <c r="A9" s="41"/>
      <c r="B9" s="41"/>
      <c r="C9" s="41"/>
      <c r="D9" s="41"/>
      <c r="E9" s="41">
        <f t="shared" si="1"/>
        <v>0</v>
      </c>
      <c r="F9" s="41"/>
      <c r="G9" s="41"/>
    </row>
    <row r="10">
      <c r="A10" s="41"/>
      <c r="B10" s="41"/>
      <c r="C10" s="41"/>
      <c r="D10" s="41"/>
      <c r="E10" s="41">
        <f t="shared" si="1"/>
        <v>0</v>
      </c>
      <c r="F10" s="41"/>
      <c r="G10" s="41"/>
    </row>
    <row r="11">
      <c r="A11" s="41"/>
      <c r="B11" s="41"/>
      <c r="C11" s="41"/>
      <c r="D11" s="41"/>
      <c r="E11" s="41">
        <f t="shared" si="1"/>
        <v>0</v>
      </c>
      <c r="F11" s="41"/>
      <c r="G11" s="41"/>
    </row>
    <row r="12">
      <c r="A12" s="41"/>
      <c r="B12" s="41"/>
      <c r="C12" s="41"/>
      <c r="D12" s="41"/>
      <c r="E12" s="41">
        <f t="shared" si="1"/>
        <v>0</v>
      </c>
      <c r="F12" s="41"/>
      <c r="G12" s="41"/>
    </row>
    <row r="13">
      <c r="A13" s="41"/>
      <c r="B13" s="41"/>
      <c r="C13" s="41"/>
      <c r="D13" s="41"/>
      <c r="E13" s="41">
        <f t="shared" si="1"/>
        <v>0</v>
      </c>
      <c r="F13" s="41"/>
      <c r="G13" s="41"/>
    </row>
    <row r="14">
      <c r="A14" s="41"/>
      <c r="B14" s="41"/>
      <c r="C14" s="41"/>
      <c r="D14" s="41"/>
      <c r="E14" s="41">
        <f t="shared" si="1"/>
        <v>0</v>
      </c>
      <c r="F14" s="41"/>
      <c r="G14" s="41"/>
    </row>
    <row r="15">
      <c r="A15" s="41"/>
      <c r="B15" s="41"/>
      <c r="C15" s="41"/>
      <c r="D15" s="41"/>
      <c r="E15" s="41">
        <f t="shared" si="1"/>
        <v>0</v>
      </c>
      <c r="F15" s="41"/>
      <c r="G15" s="41"/>
    </row>
    <row r="16">
      <c r="A16" s="41"/>
      <c r="B16" s="41"/>
      <c r="C16" s="41"/>
      <c r="D16" s="41"/>
      <c r="E16" s="41">
        <f t="shared" si="1"/>
        <v>0</v>
      </c>
      <c r="F16" s="41"/>
      <c r="G16" s="41"/>
    </row>
    <row r="17">
      <c r="A17" s="41"/>
      <c r="B17" s="41"/>
      <c r="C17" s="41"/>
      <c r="D17" s="41"/>
      <c r="E17" s="41">
        <f t="shared" si="1"/>
        <v>0</v>
      </c>
      <c r="F17" s="41"/>
      <c r="G17" s="41"/>
    </row>
    <row r="18">
      <c r="A18" s="41"/>
      <c r="B18" s="41"/>
      <c r="C18" s="41"/>
      <c r="D18" s="41"/>
      <c r="E18" s="41">
        <f t="shared" si="1"/>
        <v>0</v>
      </c>
      <c r="F18" s="41"/>
      <c r="G18" s="41"/>
    </row>
    <row r="19">
      <c r="A19" s="41"/>
      <c r="B19" s="41"/>
      <c r="C19" s="41"/>
      <c r="D19" s="41"/>
      <c r="E19" s="41">
        <f t="shared" si="1"/>
        <v>0</v>
      </c>
      <c r="F19" s="41"/>
      <c r="G19" s="41"/>
    </row>
    <row r="20">
      <c r="A20" s="41"/>
      <c r="B20" s="41"/>
      <c r="C20" s="41"/>
      <c r="D20" s="41"/>
      <c r="E20" s="41">
        <f t="shared" si="1"/>
        <v>0</v>
      </c>
      <c r="F20" s="41"/>
      <c r="G20" s="41"/>
    </row>
    <row r="21">
      <c r="A21" s="41"/>
      <c r="B21" s="41"/>
      <c r="C21" s="41"/>
      <c r="D21" s="41"/>
      <c r="E21" s="41">
        <f t="shared" si="1"/>
        <v>0</v>
      </c>
      <c r="F21" s="41"/>
      <c r="G21" s="41"/>
    </row>
    <row r="22">
      <c r="A22" s="41"/>
      <c r="B22" s="41"/>
      <c r="C22" s="41"/>
      <c r="D22" s="41"/>
      <c r="E22" s="41">
        <f t="shared" si="1"/>
        <v>0</v>
      </c>
      <c r="F22" s="41"/>
      <c r="G22" s="41"/>
    </row>
    <row r="23">
      <c r="A23" s="41"/>
      <c r="B23" s="41"/>
      <c r="C23" s="41"/>
      <c r="D23" s="41"/>
      <c r="E23" s="41">
        <f t="shared" si="1"/>
        <v>0</v>
      </c>
      <c r="F23" s="41"/>
      <c r="G23" s="41"/>
    </row>
    <row r="24">
      <c r="A24" s="41"/>
      <c r="B24" s="41"/>
      <c r="C24" s="41"/>
      <c r="D24" s="41"/>
      <c r="E24" s="41">
        <f t="shared" si="1"/>
        <v>0</v>
      </c>
      <c r="F24" s="41"/>
      <c r="G24" s="41"/>
    </row>
    <row r="25">
      <c r="A25" s="41"/>
      <c r="B25" s="41"/>
      <c r="C25" s="41"/>
      <c r="D25" s="41"/>
      <c r="E25" s="41">
        <f t="shared" si="1"/>
        <v>0</v>
      </c>
      <c r="F25" s="41"/>
      <c r="G25" s="41"/>
    </row>
    <row r="26">
      <c r="A26" s="41"/>
      <c r="B26" s="41"/>
      <c r="C26" s="41"/>
      <c r="D26" s="41"/>
      <c r="E26" s="41">
        <f t="shared" si="1"/>
        <v>0</v>
      </c>
      <c r="F26" s="41"/>
      <c r="G26" s="41"/>
    </row>
    <row r="27">
      <c r="A27" s="41"/>
      <c r="B27" s="41"/>
      <c r="C27" s="41"/>
      <c r="D27" s="41"/>
      <c r="E27" s="41">
        <f t="shared" si="1"/>
        <v>0</v>
      </c>
      <c r="F27" s="41"/>
      <c r="G27" s="41"/>
    </row>
    <row r="28">
      <c r="A28" s="41"/>
      <c r="B28" s="41"/>
      <c r="C28" s="41"/>
      <c r="D28" s="41"/>
      <c r="E28" s="41">
        <f t="shared" si="1"/>
        <v>0</v>
      </c>
      <c r="F28" s="41"/>
      <c r="G28" s="41"/>
    </row>
    <row r="29">
      <c r="A29" s="41"/>
      <c r="B29" s="41"/>
      <c r="C29" s="41"/>
      <c r="D29" s="41"/>
      <c r="E29" s="41">
        <f t="shared" si="1"/>
        <v>0</v>
      </c>
      <c r="F29" s="41"/>
      <c r="G29" s="41"/>
    </row>
    <row r="30">
      <c r="A30" s="41"/>
      <c r="B30" s="41"/>
      <c r="C30" s="41"/>
      <c r="D30" s="41"/>
      <c r="E30" s="41">
        <f t="shared" si="1"/>
        <v>0</v>
      </c>
      <c r="F30" s="41"/>
      <c r="G30" s="41"/>
    </row>
    <row r="31">
      <c r="A31" s="41"/>
      <c r="B31" s="41"/>
      <c r="C31" s="41"/>
      <c r="D31" s="41"/>
      <c r="E31" s="41">
        <f t="shared" si="1"/>
        <v>0</v>
      </c>
      <c r="F31" s="41"/>
      <c r="G31" s="41"/>
    </row>
    <row r="32">
      <c r="A32" s="41"/>
      <c r="B32" s="41"/>
      <c r="C32" s="41"/>
      <c r="D32" s="41"/>
      <c r="E32" s="41">
        <f t="shared" si="1"/>
        <v>0</v>
      </c>
      <c r="F32" s="41"/>
      <c r="G32" s="41"/>
    </row>
    <row r="33">
      <c r="A33" s="41"/>
      <c r="B33" s="41"/>
      <c r="C33" s="41"/>
      <c r="D33" s="41"/>
      <c r="E33" s="41">
        <f t="shared" si="1"/>
        <v>0</v>
      </c>
      <c r="F33" s="41"/>
      <c r="G33" s="41"/>
    </row>
    <row r="34">
      <c r="A34" s="41"/>
      <c r="B34" s="41"/>
      <c r="C34" s="41"/>
      <c r="D34" s="41"/>
      <c r="E34" s="41">
        <f t="shared" si="1"/>
        <v>0</v>
      </c>
      <c r="F34" s="41"/>
      <c r="G34" s="41"/>
    </row>
    <row r="35">
      <c r="A35" s="41"/>
      <c r="B35" s="41"/>
      <c r="C35" s="41"/>
      <c r="D35" s="41"/>
      <c r="E35" s="41">
        <f t="shared" si="1"/>
        <v>0</v>
      </c>
      <c r="F35" s="41"/>
      <c r="G35" s="41"/>
    </row>
    <row r="36">
      <c r="A36" s="41"/>
      <c r="B36" s="41"/>
      <c r="C36" s="41"/>
      <c r="D36" s="41"/>
      <c r="E36" s="41">
        <f t="shared" si="1"/>
        <v>0</v>
      </c>
      <c r="F36" s="41"/>
      <c r="G36" s="41"/>
    </row>
    <row r="37">
      <c r="A37" s="41"/>
      <c r="B37" s="41"/>
      <c r="C37" s="41"/>
      <c r="D37" s="41"/>
      <c r="E37" s="41">
        <f t="shared" si="1"/>
        <v>0</v>
      </c>
      <c r="F37" s="41"/>
      <c r="G37" s="41"/>
    </row>
    <row r="38">
      <c r="A38" s="41"/>
      <c r="B38" s="41"/>
      <c r="C38" s="41"/>
      <c r="D38" s="41"/>
      <c r="E38" s="41">
        <f t="shared" si="1"/>
        <v>0</v>
      </c>
      <c r="F38" s="41"/>
      <c r="G38" s="41"/>
    </row>
    <row r="39">
      <c r="A39" s="41"/>
      <c r="B39" s="41"/>
      <c r="C39" s="41"/>
      <c r="D39" s="41"/>
      <c r="E39" s="41">
        <f t="shared" si="1"/>
        <v>0</v>
      </c>
      <c r="F39" s="41"/>
      <c r="G39" s="41"/>
    </row>
    <row r="40">
      <c r="A40" s="41"/>
      <c r="B40" s="41"/>
      <c r="C40" s="41"/>
      <c r="D40" s="41"/>
      <c r="E40" s="41">
        <f t="shared" si="1"/>
        <v>0</v>
      </c>
      <c r="F40" s="41"/>
      <c r="G40" s="41"/>
    </row>
    <row r="41">
      <c r="A41" s="41"/>
      <c r="B41" s="41"/>
      <c r="C41" s="41"/>
      <c r="D41" s="41"/>
      <c r="E41" s="41">
        <f t="shared" si="1"/>
        <v>0</v>
      </c>
      <c r="F41" s="41"/>
      <c r="G41" s="41"/>
    </row>
    <row r="42">
      <c r="A42" s="41"/>
      <c r="B42" s="41"/>
      <c r="C42" s="41"/>
      <c r="D42" s="41"/>
      <c r="E42" s="41">
        <f t="shared" si="1"/>
        <v>0</v>
      </c>
      <c r="F42" s="41"/>
      <c r="G42" s="41"/>
    </row>
    <row r="43">
      <c r="A43" s="41"/>
      <c r="B43" s="41"/>
      <c r="C43" s="41"/>
      <c r="D43" s="41"/>
      <c r="E43" s="41">
        <f t="shared" si="1"/>
        <v>0</v>
      </c>
      <c r="F43" s="41"/>
      <c r="G43" s="41"/>
    </row>
    <row r="44">
      <c r="A44" s="41"/>
      <c r="B44" s="41"/>
      <c r="C44" s="41"/>
      <c r="D44" s="41"/>
      <c r="E44" s="41">
        <f t="shared" si="1"/>
        <v>0</v>
      </c>
      <c r="F44" s="41"/>
      <c r="G44" s="41"/>
    </row>
    <row r="45">
      <c r="A45" s="41"/>
      <c r="B45" s="41"/>
      <c r="C45" s="41"/>
      <c r="D45" s="41"/>
      <c r="E45" s="41">
        <f t="shared" si="1"/>
        <v>0</v>
      </c>
      <c r="F45" s="41"/>
      <c r="G45" s="41"/>
    </row>
    <row r="46">
      <c r="A46" s="41"/>
      <c r="B46" s="41"/>
      <c r="C46" s="41"/>
      <c r="D46" s="41"/>
      <c r="E46" s="41">
        <f t="shared" si="1"/>
        <v>0</v>
      </c>
      <c r="F46" s="41"/>
      <c r="G46" s="41"/>
    </row>
    <row r="47">
      <c r="A47" s="41"/>
      <c r="B47" s="41"/>
      <c r="C47" s="41"/>
      <c r="D47" s="41"/>
      <c r="E47" s="41">
        <f t="shared" si="1"/>
        <v>0</v>
      </c>
      <c r="F47" s="41"/>
      <c r="G47" s="41"/>
    </row>
    <row r="48">
      <c r="A48" s="41"/>
      <c r="B48" s="41"/>
      <c r="C48" s="41"/>
      <c r="D48" s="41"/>
      <c r="E48" s="41">
        <f t="shared" si="1"/>
        <v>0</v>
      </c>
      <c r="F48" s="41"/>
      <c r="G48" s="41"/>
    </row>
    <row r="49">
      <c r="A49" s="41"/>
      <c r="B49" s="41"/>
      <c r="C49" s="41"/>
      <c r="D49" s="41"/>
      <c r="E49" s="41">
        <f t="shared" si="1"/>
        <v>0</v>
      </c>
      <c r="F49" s="41"/>
      <c r="G49" s="41"/>
    </row>
    <row r="50">
      <c r="A50" s="41"/>
      <c r="B50" s="41"/>
      <c r="C50" s="41"/>
      <c r="D50" s="41"/>
      <c r="E50" s="41">
        <f t="shared" si="1"/>
        <v>0</v>
      </c>
      <c r="F50" s="41"/>
      <c r="G50" s="41"/>
    </row>
    <row r="51">
      <c r="A51" s="41"/>
      <c r="B51" s="41"/>
      <c r="C51" s="41"/>
      <c r="D51" s="41"/>
      <c r="E51" s="41">
        <f t="shared" si="1"/>
        <v>0</v>
      </c>
      <c r="F51" s="41"/>
      <c r="G51" s="41"/>
    </row>
    <row r="52">
      <c r="A52" s="41"/>
      <c r="B52" s="41"/>
      <c r="C52" s="41"/>
      <c r="D52" s="41"/>
      <c r="E52" s="41">
        <f t="shared" si="1"/>
        <v>0</v>
      </c>
      <c r="F52" s="41"/>
      <c r="G52" s="41"/>
    </row>
    <row r="53">
      <c r="A53" s="41"/>
      <c r="B53" s="41"/>
      <c r="C53" s="41"/>
      <c r="D53" s="41"/>
      <c r="E53" s="41">
        <f t="shared" si="1"/>
        <v>0</v>
      </c>
      <c r="F53" s="41"/>
      <c r="G53" s="41"/>
    </row>
    <row r="54">
      <c r="A54" s="41"/>
      <c r="B54" s="41"/>
      <c r="C54" s="41"/>
      <c r="D54" s="41"/>
      <c r="E54" s="41">
        <f t="shared" si="1"/>
        <v>0</v>
      </c>
      <c r="F54" s="41"/>
      <c r="G54" s="41"/>
    </row>
    <row r="55">
      <c r="A55" s="41"/>
      <c r="B55" s="41"/>
      <c r="C55" s="41"/>
      <c r="D55" s="41"/>
      <c r="E55" s="41">
        <f t="shared" si="1"/>
        <v>0</v>
      </c>
      <c r="F55" s="41"/>
      <c r="G55" s="41"/>
    </row>
    <row r="56">
      <c r="A56" s="41"/>
      <c r="B56" s="41"/>
      <c r="C56" s="41"/>
      <c r="D56" s="41"/>
      <c r="E56" s="41">
        <f t="shared" si="1"/>
        <v>0</v>
      </c>
      <c r="F56" s="41"/>
      <c r="G56" s="41"/>
    </row>
    <row r="57">
      <c r="A57" s="41"/>
      <c r="B57" s="41"/>
      <c r="C57" s="41"/>
      <c r="D57" s="41"/>
      <c r="E57" s="41">
        <f t="shared" si="1"/>
        <v>0</v>
      </c>
      <c r="F57" s="41"/>
      <c r="G57" s="41"/>
    </row>
    <row r="58">
      <c r="A58" s="41"/>
      <c r="B58" s="41"/>
      <c r="C58" s="41"/>
      <c r="D58" s="41"/>
      <c r="E58" s="41">
        <f t="shared" si="1"/>
        <v>0</v>
      </c>
      <c r="F58" s="41"/>
      <c r="G58" s="41"/>
    </row>
    <row r="59">
      <c r="A59" s="41"/>
      <c r="B59" s="41"/>
      <c r="C59" s="41"/>
      <c r="D59" s="41"/>
      <c r="E59" s="41">
        <f t="shared" si="1"/>
        <v>0</v>
      </c>
      <c r="F59" s="41"/>
      <c r="G59" s="41"/>
    </row>
    <row r="60">
      <c r="A60" s="41"/>
      <c r="B60" s="41"/>
      <c r="C60" s="41"/>
      <c r="D60" s="41"/>
      <c r="E60" s="41">
        <f t="shared" si="1"/>
        <v>0</v>
      </c>
      <c r="F60" s="41"/>
      <c r="G60" s="41"/>
    </row>
    <row r="61">
      <c r="A61" s="41"/>
      <c r="B61" s="41"/>
      <c r="C61" s="41"/>
      <c r="D61" s="41"/>
      <c r="E61" s="41">
        <f t="shared" si="1"/>
        <v>0</v>
      </c>
      <c r="F61" s="41"/>
      <c r="G61" s="41"/>
    </row>
    <row r="62">
      <c r="A62" s="41"/>
      <c r="B62" s="41"/>
      <c r="C62" s="41"/>
      <c r="D62" s="41"/>
      <c r="E62" s="41">
        <f t="shared" si="1"/>
        <v>0</v>
      </c>
      <c r="F62" s="41"/>
      <c r="G62" s="41"/>
    </row>
    <row r="63">
      <c r="A63" s="41"/>
      <c r="B63" s="41"/>
      <c r="C63" s="41"/>
      <c r="D63" s="41"/>
      <c r="E63" s="41">
        <f t="shared" si="1"/>
        <v>0</v>
      </c>
      <c r="F63" s="41"/>
      <c r="G63" s="41"/>
    </row>
    <row r="64">
      <c r="A64" s="41"/>
      <c r="B64" s="41"/>
      <c r="C64" s="41"/>
      <c r="D64" s="41"/>
      <c r="E64" s="41">
        <f t="shared" si="1"/>
        <v>0</v>
      </c>
      <c r="F64" s="41"/>
      <c r="G64" s="41"/>
    </row>
    <row r="65">
      <c r="A65" s="41"/>
      <c r="B65" s="41"/>
      <c r="C65" s="41"/>
      <c r="D65" s="41"/>
      <c r="E65" s="41">
        <f t="shared" si="1"/>
        <v>0</v>
      </c>
      <c r="F65" s="41"/>
      <c r="G65" s="41"/>
    </row>
    <row r="66">
      <c r="A66" s="41"/>
      <c r="B66" s="41"/>
      <c r="C66" s="41"/>
      <c r="D66" s="41"/>
      <c r="E66" s="41">
        <f t="shared" si="1"/>
        <v>0</v>
      </c>
      <c r="F66" s="41"/>
      <c r="G66" s="41"/>
    </row>
    <row r="67">
      <c r="A67" s="41"/>
      <c r="B67" s="41"/>
      <c r="C67" s="41"/>
      <c r="D67" s="41"/>
      <c r="E67" s="41">
        <f t="shared" si="1"/>
        <v>0</v>
      </c>
      <c r="F67" s="41"/>
      <c r="G67" s="41"/>
    </row>
    <row r="68">
      <c r="A68" s="41"/>
      <c r="B68" s="41"/>
      <c r="C68" s="41"/>
      <c r="D68" s="41"/>
      <c r="E68" s="41">
        <f t="shared" si="1"/>
        <v>0</v>
      </c>
      <c r="F68" s="41"/>
      <c r="G68" s="41"/>
    </row>
    <row r="69">
      <c r="A69" s="41"/>
      <c r="B69" s="41"/>
      <c r="C69" s="41"/>
      <c r="D69" s="41"/>
      <c r="E69" s="41">
        <f t="shared" si="1"/>
        <v>0</v>
      </c>
      <c r="F69" s="41"/>
      <c r="G69" s="41"/>
    </row>
    <row r="70">
      <c r="A70" s="41"/>
      <c r="B70" s="41"/>
      <c r="C70" s="41"/>
      <c r="D70" s="41"/>
      <c r="E70" s="41">
        <f t="shared" si="1"/>
        <v>0</v>
      </c>
      <c r="F70" s="41"/>
      <c r="G70" s="41"/>
    </row>
    <row r="71">
      <c r="A71" s="41"/>
      <c r="B71" s="41"/>
      <c r="C71" s="41"/>
      <c r="D71" s="41"/>
      <c r="E71" s="41">
        <f t="shared" si="1"/>
        <v>0</v>
      </c>
      <c r="F71" s="41"/>
      <c r="G71" s="41"/>
    </row>
    <row r="72">
      <c r="A72" s="41"/>
      <c r="B72" s="41"/>
      <c r="C72" s="41"/>
      <c r="D72" s="41"/>
      <c r="E72" s="41">
        <f t="shared" si="1"/>
        <v>0</v>
      </c>
      <c r="F72" s="41"/>
      <c r="G72" s="41"/>
    </row>
    <row r="73">
      <c r="A73" s="41"/>
      <c r="B73" s="41"/>
      <c r="C73" s="41"/>
      <c r="D73" s="41"/>
      <c r="E73" s="41">
        <f t="shared" si="1"/>
        <v>0</v>
      </c>
      <c r="F73" s="41"/>
      <c r="G73" s="41"/>
    </row>
    <row r="74">
      <c r="A74" s="41"/>
      <c r="B74" s="41"/>
      <c r="C74" s="41"/>
      <c r="D74" s="41"/>
      <c r="E74" s="41">
        <f t="shared" si="1"/>
        <v>0</v>
      </c>
      <c r="F74" s="41"/>
      <c r="G74" s="41"/>
    </row>
    <row r="75">
      <c r="A75" s="41"/>
      <c r="B75" s="41"/>
      <c r="C75" s="41"/>
      <c r="D75" s="41"/>
      <c r="E75" s="41">
        <f t="shared" si="1"/>
        <v>0</v>
      </c>
      <c r="F75" s="41"/>
      <c r="G75" s="41"/>
    </row>
    <row r="76">
      <c r="A76" s="41"/>
      <c r="B76" s="41"/>
      <c r="C76" s="41"/>
      <c r="D76" s="41"/>
      <c r="E76" s="41">
        <f t="shared" si="1"/>
        <v>0</v>
      </c>
      <c r="F76" s="41"/>
      <c r="G76" s="41"/>
    </row>
    <row r="77">
      <c r="A77" s="41"/>
      <c r="B77" s="41"/>
      <c r="C77" s="41"/>
      <c r="D77" s="41"/>
      <c r="E77" s="41">
        <f t="shared" si="1"/>
        <v>0</v>
      </c>
      <c r="F77" s="41"/>
      <c r="G77" s="41"/>
    </row>
    <row r="78">
      <c r="A78" s="41"/>
      <c r="B78" s="41"/>
      <c r="C78" s="41"/>
      <c r="D78" s="41"/>
      <c r="E78" s="41">
        <f t="shared" si="1"/>
        <v>0</v>
      </c>
      <c r="F78" s="41"/>
      <c r="G78" s="41"/>
    </row>
    <row r="79">
      <c r="A79" s="41"/>
      <c r="B79" s="41"/>
      <c r="C79" s="41"/>
      <c r="D79" s="41"/>
      <c r="E79" s="41">
        <f t="shared" si="1"/>
        <v>0</v>
      </c>
      <c r="F79" s="41"/>
      <c r="G79" s="41"/>
    </row>
    <row r="80">
      <c r="A80" s="41"/>
      <c r="B80" s="41"/>
      <c r="C80" s="41"/>
      <c r="D80" s="41"/>
      <c r="E80" s="41">
        <f t="shared" si="1"/>
        <v>0</v>
      </c>
      <c r="F80" s="41"/>
      <c r="G80" s="41"/>
    </row>
    <row r="81">
      <c r="A81" s="41"/>
      <c r="B81" s="41"/>
      <c r="C81" s="41"/>
      <c r="D81" s="41"/>
      <c r="E81" s="41">
        <f t="shared" si="1"/>
        <v>0</v>
      </c>
      <c r="F81" s="41"/>
      <c r="G81" s="41"/>
    </row>
    <row r="82">
      <c r="A82" s="41"/>
      <c r="B82" s="41"/>
      <c r="C82" s="41"/>
      <c r="D82" s="41"/>
      <c r="E82" s="41">
        <f t="shared" si="1"/>
        <v>0</v>
      </c>
      <c r="F82" s="41"/>
      <c r="G82" s="41"/>
    </row>
    <row r="83">
      <c r="A83" s="41"/>
      <c r="B83" s="41"/>
      <c r="C83" s="41"/>
      <c r="D83" s="41"/>
      <c r="E83" s="41">
        <f t="shared" si="1"/>
        <v>0</v>
      </c>
      <c r="F83" s="41"/>
      <c r="G83" s="41"/>
    </row>
    <row r="84">
      <c r="A84" s="41"/>
      <c r="B84" s="41"/>
      <c r="C84" s="41"/>
      <c r="D84" s="41"/>
      <c r="E84" s="41">
        <f t="shared" si="1"/>
        <v>0</v>
      </c>
      <c r="F84" s="41"/>
      <c r="G84" s="41"/>
    </row>
    <row r="85">
      <c r="A85" s="41"/>
      <c r="B85" s="41"/>
      <c r="C85" s="41"/>
      <c r="D85" s="41"/>
      <c r="E85" s="41">
        <f t="shared" si="1"/>
        <v>0</v>
      </c>
      <c r="F85" s="41"/>
      <c r="G85" s="41"/>
    </row>
    <row r="86">
      <c r="A86" s="41"/>
      <c r="B86" s="41"/>
      <c r="C86" s="41"/>
      <c r="D86" s="41"/>
      <c r="E86" s="41">
        <f t="shared" si="1"/>
        <v>0</v>
      </c>
      <c r="F86" s="41"/>
      <c r="G86" s="41"/>
    </row>
    <row r="87">
      <c r="A87" s="41"/>
      <c r="B87" s="41"/>
      <c r="C87" s="41"/>
      <c r="D87" s="41"/>
      <c r="E87" s="41">
        <f t="shared" si="1"/>
        <v>0</v>
      </c>
      <c r="F87" s="41"/>
      <c r="G87" s="41"/>
    </row>
    <row r="88">
      <c r="A88" s="41"/>
      <c r="B88" s="41"/>
      <c r="C88" s="41"/>
      <c r="D88" s="41"/>
      <c r="E88" s="41">
        <f t="shared" si="1"/>
        <v>0</v>
      </c>
      <c r="F88" s="41"/>
      <c r="G88" s="41"/>
    </row>
    <row r="89">
      <c r="A89" s="41"/>
      <c r="B89" s="41"/>
      <c r="C89" s="41"/>
      <c r="D89" s="41"/>
      <c r="E89" s="41">
        <f t="shared" si="1"/>
        <v>0</v>
      </c>
      <c r="F89" s="41"/>
      <c r="G89" s="41"/>
    </row>
    <row r="90">
      <c r="A90" s="41"/>
      <c r="B90" s="41"/>
      <c r="C90" s="41"/>
      <c r="D90" s="41"/>
      <c r="E90" s="41">
        <f t="shared" si="1"/>
        <v>0</v>
      </c>
      <c r="F90" s="41"/>
      <c r="G90" s="41"/>
    </row>
    <row r="91">
      <c r="A91" s="41"/>
      <c r="B91" s="41"/>
      <c r="C91" s="41"/>
      <c r="D91" s="41"/>
      <c r="E91" s="41">
        <f t="shared" si="1"/>
        <v>0</v>
      </c>
      <c r="F91" s="41"/>
      <c r="G91" s="41"/>
    </row>
    <row r="92">
      <c r="A92" s="41"/>
      <c r="B92" s="41"/>
      <c r="C92" s="41"/>
      <c r="D92" s="41"/>
      <c r="E92" s="41">
        <f t="shared" si="1"/>
        <v>0</v>
      </c>
      <c r="F92" s="41"/>
      <c r="G92" s="41"/>
    </row>
    <row r="93">
      <c r="A93" s="41"/>
      <c r="B93" s="41"/>
      <c r="C93" s="41"/>
      <c r="D93" s="41"/>
      <c r="E93" s="41">
        <f t="shared" si="1"/>
        <v>0</v>
      </c>
      <c r="F93" s="41"/>
      <c r="G93" s="41"/>
    </row>
    <row r="94">
      <c r="A94" s="41"/>
      <c r="B94" s="41"/>
      <c r="C94" s="41"/>
      <c r="D94" s="41"/>
      <c r="E94" s="41">
        <f t="shared" si="1"/>
        <v>0</v>
      </c>
      <c r="F94" s="41"/>
      <c r="G94" s="41"/>
    </row>
    <row r="95">
      <c r="A95" s="41"/>
      <c r="B95" s="41"/>
      <c r="C95" s="41"/>
      <c r="D95" s="41"/>
      <c r="E95" s="41">
        <f t="shared" si="1"/>
        <v>0</v>
      </c>
      <c r="F95" s="41"/>
      <c r="G95" s="41"/>
    </row>
    <row r="96">
      <c r="A96" s="41"/>
      <c r="B96" s="41"/>
      <c r="C96" s="41"/>
      <c r="D96" s="41"/>
      <c r="E96" s="41">
        <f t="shared" si="1"/>
        <v>0</v>
      </c>
      <c r="F96" s="41"/>
      <c r="G96" s="41"/>
    </row>
    <row r="97">
      <c r="A97" s="41"/>
      <c r="B97" s="41"/>
      <c r="C97" s="41"/>
      <c r="D97" s="41"/>
      <c r="E97" s="41">
        <f t="shared" si="1"/>
        <v>0</v>
      </c>
      <c r="F97" s="41"/>
      <c r="G97" s="41"/>
    </row>
    <row r="98">
      <c r="A98" s="41"/>
      <c r="B98" s="41"/>
      <c r="C98" s="41"/>
      <c r="D98" s="41"/>
      <c r="E98" s="41">
        <f t="shared" si="1"/>
        <v>0</v>
      </c>
      <c r="F98" s="41"/>
      <c r="G98" s="41"/>
    </row>
    <row r="99">
      <c r="A99" s="41"/>
      <c r="B99" s="41"/>
      <c r="C99" s="41"/>
      <c r="D99" s="41"/>
      <c r="E99" s="41">
        <f t="shared" si="1"/>
        <v>0</v>
      </c>
      <c r="F99" s="41"/>
      <c r="G99" s="41"/>
    </row>
    <row r="100">
      <c r="A100" s="41"/>
      <c r="B100" s="41"/>
      <c r="C100" s="41"/>
      <c r="D100" s="41"/>
      <c r="E100" s="41">
        <f t="shared" si="1"/>
        <v>0</v>
      </c>
      <c r="F100" s="41"/>
      <c r="G100" s="41"/>
    </row>
    <row r="101">
      <c r="A101" s="41"/>
      <c r="B101" s="41"/>
      <c r="C101" s="41"/>
      <c r="D101" s="41"/>
      <c r="E101" s="41">
        <f t="shared" si="1"/>
        <v>0</v>
      </c>
      <c r="F101" s="41"/>
      <c r="G101" s="41"/>
    </row>
    <row r="102">
      <c r="A102" s="41"/>
      <c r="B102" s="41"/>
      <c r="C102" s="41"/>
      <c r="D102" s="41"/>
      <c r="E102" s="41">
        <f t="shared" si="1"/>
        <v>0</v>
      </c>
      <c r="F102" s="41"/>
      <c r="G102" s="41"/>
    </row>
    <row r="103">
      <c r="A103" s="41"/>
      <c r="B103" s="41"/>
      <c r="C103" s="41"/>
      <c r="D103" s="41"/>
      <c r="E103" s="41">
        <f t="shared" si="1"/>
        <v>0</v>
      </c>
      <c r="F103" s="41"/>
      <c r="G103" s="41"/>
    </row>
    <row r="104">
      <c r="A104" s="41"/>
      <c r="B104" s="41"/>
      <c r="C104" s="41"/>
      <c r="D104" s="41"/>
      <c r="E104" s="41">
        <f t="shared" si="1"/>
        <v>0</v>
      </c>
      <c r="F104" s="41"/>
      <c r="G104" s="41"/>
    </row>
    <row r="105">
      <c r="A105" s="41"/>
      <c r="B105" s="41"/>
      <c r="C105" s="41"/>
      <c r="D105" s="41"/>
      <c r="E105" s="41">
        <f t="shared" si="1"/>
        <v>0</v>
      </c>
      <c r="F105" s="41"/>
      <c r="G105" s="41"/>
    </row>
    <row r="106">
      <c r="A106" s="41"/>
      <c r="B106" s="41"/>
      <c r="C106" s="41"/>
      <c r="D106" s="41"/>
      <c r="E106" s="41">
        <f t="shared" si="1"/>
        <v>0</v>
      </c>
      <c r="F106" s="41"/>
      <c r="G106" s="41"/>
    </row>
    <row r="107">
      <c r="A107" s="41"/>
      <c r="B107" s="41"/>
      <c r="C107" s="41"/>
      <c r="D107" s="41"/>
      <c r="E107" s="41">
        <f t="shared" si="1"/>
        <v>0</v>
      </c>
      <c r="F107" s="41"/>
      <c r="G107" s="41"/>
    </row>
    <row r="108">
      <c r="A108" s="41"/>
      <c r="B108" s="41"/>
      <c r="C108" s="41"/>
      <c r="D108" s="41"/>
      <c r="E108" s="41">
        <f t="shared" si="1"/>
        <v>0</v>
      </c>
      <c r="F108" s="41"/>
      <c r="G108" s="41"/>
    </row>
    <row r="109">
      <c r="A109" s="41"/>
      <c r="B109" s="41"/>
      <c r="C109" s="41"/>
      <c r="D109" s="41"/>
      <c r="E109" s="41">
        <f t="shared" si="1"/>
        <v>0</v>
      </c>
      <c r="F109" s="41"/>
      <c r="G109" s="41"/>
    </row>
    <row r="110">
      <c r="A110" s="41"/>
      <c r="B110" s="41"/>
      <c r="C110" s="41"/>
      <c r="D110" s="41"/>
      <c r="E110" s="41">
        <f t="shared" si="1"/>
        <v>0</v>
      </c>
      <c r="F110" s="41"/>
      <c r="G110" s="41"/>
    </row>
    <row r="111">
      <c r="A111" s="41"/>
      <c r="B111" s="41"/>
      <c r="C111" s="41"/>
      <c r="D111" s="41"/>
      <c r="E111" s="41">
        <f t="shared" si="1"/>
        <v>0</v>
      </c>
      <c r="F111" s="41"/>
      <c r="G111" s="41"/>
    </row>
    <row r="112">
      <c r="A112" s="41"/>
      <c r="B112" s="41"/>
      <c r="C112" s="41"/>
      <c r="D112" s="41"/>
      <c r="E112" s="41">
        <f t="shared" si="1"/>
        <v>0</v>
      </c>
      <c r="F112" s="41"/>
      <c r="G112" s="41"/>
    </row>
    <row r="113">
      <c r="A113" s="41"/>
      <c r="B113" s="41"/>
      <c r="C113" s="41"/>
      <c r="D113" s="41"/>
      <c r="E113" s="41">
        <f t="shared" si="1"/>
        <v>0</v>
      </c>
      <c r="F113" s="41"/>
      <c r="G113" s="41"/>
    </row>
    <row r="114">
      <c r="A114" s="41"/>
      <c r="B114" s="41"/>
      <c r="C114" s="41"/>
      <c r="D114" s="41"/>
      <c r="E114" s="41">
        <f t="shared" si="1"/>
        <v>0</v>
      </c>
      <c r="F114" s="41"/>
      <c r="G114" s="41"/>
    </row>
    <row r="115">
      <c r="A115" s="41"/>
      <c r="B115" s="41"/>
      <c r="C115" s="41"/>
      <c r="D115" s="41"/>
      <c r="E115" s="41">
        <f t="shared" si="1"/>
        <v>0</v>
      </c>
      <c r="F115" s="41"/>
      <c r="G115" s="41"/>
    </row>
    <row r="116">
      <c r="A116" s="41"/>
      <c r="B116" s="41"/>
      <c r="C116" s="41"/>
      <c r="D116" s="41"/>
      <c r="E116" s="41">
        <f t="shared" si="1"/>
        <v>0</v>
      </c>
      <c r="F116" s="41"/>
      <c r="G116" s="41"/>
    </row>
    <row r="117">
      <c r="A117" s="41"/>
      <c r="B117" s="41"/>
      <c r="C117" s="41"/>
      <c r="D117" s="41"/>
      <c r="E117" s="41">
        <f t="shared" si="1"/>
        <v>0</v>
      </c>
      <c r="F117" s="41"/>
      <c r="G117" s="41"/>
    </row>
    <row r="118">
      <c r="A118" s="41"/>
      <c r="B118" s="41"/>
      <c r="C118" s="41"/>
      <c r="D118" s="41"/>
      <c r="E118" s="41">
        <f t="shared" si="1"/>
        <v>0</v>
      </c>
      <c r="F118" s="41"/>
      <c r="G118" s="41"/>
    </row>
    <row r="119">
      <c r="A119" s="41"/>
      <c r="B119" s="41"/>
      <c r="C119" s="41"/>
      <c r="D119" s="41"/>
      <c r="E119" s="41">
        <f t="shared" si="1"/>
        <v>0</v>
      </c>
      <c r="F119" s="41"/>
      <c r="G119" s="41"/>
    </row>
    <row r="120">
      <c r="A120" s="41"/>
      <c r="B120" s="41"/>
      <c r="C120" s="41"/>
      <c r="D120" s="41"/>
      <c r="E120" s="41">
        <f t="shared" si="1"/>
        <v>0</v>
      </c>
      <c r="F120" s="41"/>
      <c r="G120" s="41"/>
    </row>
    <row r="121">
      <c r="A121" s="41"/>
      <c r="B121" s="41"/>
      <c r="C121" s="41"/>
      <c r="D121" s="41"/>
      <c r="E121" s="41">
        <f t="shared" si="1"/>
        <v>0</v>
      </c>
      <c r="F121" s="41"/>
      <c r="G121" s="41"/>
    </row>
    <row r="122">
      <c r="A122" s="41"/>
      <c r="B122" s="41"/>
      <c r="C122" s="41"/>
      <c r="D122" s="41"/>
      <c r="E122" s="41">
        <f t="shared" si="1"/>
        <v>0</v>
      </c>
      <c r="F122" s="41"/>
      <c r="G122" s="41"/>
    </row>
    <row r="123">
      <c r="A123" s="41"/>
      <c r="B123" s="41"/>
      <c r="C123" s="41"/>
      <c r="D123" s="41"/>
      <c r="E123" s="41">
        <f t="shared" si="1"/>
        <v>0</v>
      </c>
      <c r="F123" s="41"/>
      <c r="G123" s="41"/>
    </row>
    <row r="124">
      <c r="A124" s="41"/>
      <c r="B124" s="41"/>
      <c r="C124" s="41"/>
      <c r="D124" s="41"/>
      <c r="E124" s="41">
        <f t="shared" si="1"/>
        <v>0</v>
      </c>
      <c r="F124" s="41"/>
      <c r="G124" s="41"/>
    </row>
    <row r="125">
      <c r="A125" s="41"/>
      <c r="B125" s="41"/>
      <c r="C125" s="41"/>
      <c r="D125" s="41"/>
      <c r="E125" s="41">
        <f t="shared" si="1"/>
        <v>0</v>
      </c>
      <c r="F125" s="41"/>
      <c r="G125" s="41"/>
    </row>
    <row r="126">
      <c r="A126" s="41"/>
      <c r="B126" s="41"/>
      <c r="C126" s="41"/>
      <c r="D126" s="41"/>
      <c r="E126" s="41">
        <f t="shared" si="1"/>
        <v>0</v>
      </c>
      <c r="F126" s="41"/>
      <c r="G126" s="41"/>
    </row>
    <row r="127">
      <c r="A127" s="41"/>
      <c r="B127" s="41"/>
      <c r="C127" s="41"/>
      <c r="D127" s="41"/>
      <c r="E127" s="41">
        <f t="shared" si="1"/>
        <v>0</v>
      </c>
      <c r="F127" s="41"/>
      <c r="G127" s="41"/>
    </row>
    <row r="128">
      <c r="A128" s="41"/>
      <c r="B128" s="41"/>
      <c r="C128" s="41"/>
      <c r="D128" s="41"/>
      <c r="E128" s="41">
        <f t="shared" si="1"/>
        <v>0</v>
      </c>
      <c r="F128" s="41"/>
      <c r="G128" s="41"/>
    </row>
    <row r="129">
      <c r="A129" s="41"/>
      <c r="B129" s="41"/>
      <c r="C129" s="41"/>
      <c r="D129" s="41"/>
      <c r="E129" s="41">
        <f t="shared" si="1"/>
        <v>0</v>
      </c>
      <c r="F129" s="41"/>
      <c r="G129" s="41"/>
    </row>
    <row r="130">
      <c r="A130" s="41"/>
      <c r="B130" s="41"/>
      <c r="C130" s="41"/>
      <c r="D130" s="41"/>
      <c r="E130" s="41">
        <f t="shared" si="1"/>
        <v>0</v>
      </c>
      <c r="F130" s="41"/>
      <c r="G130" s="41"/>
    </row>
    <row r="131">
      <c r="A131" s="41"/>
      <c r="B131" s="41"/>
      <c r="C131" s="41"/>
      <c r="D131" s="41"/>
      <c r="E131" s="41">
        <f t="shared" si="1"/>
        <v>0</v>
      </c>
      <c r="F131" s="41"/>
      <c r="G131" s="41"/>
    </row>
    <row r="132">
      <c r="A132" s="41"/>
      <c r="B132" s="41"/>
      <c r="C132" s="41"/>
      <c r="D132" s="41"/>
      <c r="E132" s="41">
        <f t="shared" si="1"/>
        <v>0</v>
      </c>
      <c r="F132" s="41"/>
      <c r="G132" s="41"/>
    </row>
    <row r="133">
      <c r="A133" s="41"/>
      <c r="B133" s="41"/>
      <c r="C133" s="41"/>
      <c r="D133" s="41"/>
      <c r="E133" s="41">
        <f t="shared" si="1"/>
        <v>0</v>
      </c>
      <c r="F133" s="41"/>
      <c r="G133" s="41"/>
    </row>
    <row r="134">
      <c r="A134" s="41"/>
      <c r="B134" s="41"/>
      <c r="C134" s="41"/>
      <c r="D134" s="41"/>
      <c r="E134" s="41">
        <f t="shared" si="1"/>
        <v>0</v>
      </c>
      <c r="F134" s="41"/>
      <c r="G134" s="41"/>
    </row>
    <row r="135">
      <c r="A135" s="41"/>
      <c r="B135" s="41"/>
      <c r="C135" s="41"/>
      <c r="D135" s="41"/>
      <c r="E135" s="41">
        <f t="shared" si="1"/>
        <v>0</v>
      </c>
      <c r="F135" s="41"/>
      <c r="G135" s="41"/>
    </row>
    <row r="136">
      <c r="A136" s="41"/>
      <c r="B136" s="41"/>
      <c r="C136" s="41"/>
      <c r="D136" s="41"/>
      <c r="E136" s="41">
        <f t="shared" si="1"/>
        <v>0</v>
      </c>
      <c r="F136" s="41"/>
      <c r="G136" s="41"/>
    </row>
    <row r="137">
      <c r="A137" s="41"/>
      <c r="B137" s="41"/>
      <c r="C137" s="41"/>
      <c r="D137" s="41"/>
      <c r="E137" s="41">
        <f t="shared" si="1"/>
        <v>0</v>
      </c>
      <c r="F137" s="41"/>
      <c r="G137" s="41"/>
    </row>
    <row r="138">
      <c r="A138" s="41"/>
      <c r="B138" s="41"/>
      <c r="C138" s="41"/>
      <c r="D138" s="41"/>
      <c r="E138" s="41">
        <f t="shared" si="1"/>
        <v>0</v>
      </c>
      <c r="F138" s="41"/>
      <c r="G138" s="41"/>
    </row>
    <row r="139">
      <c r="A139" s="41"/>
      <c r="B139" s="41"/>
      <c r="C139" s="41"/>
      <c r="D139" s="41"/>
      <c r="E139" s="41">
        <f t="shared" si="1"/>
        <v>0</v>
      </c>
      <c r="F139" s="41"/>
      <c r="G139" s="41"/>
    </row>
    <row r="140">
      <c r="A140" s="41"/>
      <c r="B140" s="41"/>
      <c r="C140" s="41"/>
      <c r="D140" s="41"/>
      <c r="E140" s="41">
        <f t="shared" si="1"/>
        <v>0</v>
      </c>
      <c r="F140" s="41"/>
      <c r="G140" s="41"/>
    </row>
    <row r="141">
      <c r="A141" s="41"/>
      <c r="B141" s="41"/>
      <c r="C141" s="41"/>
      <c r="D141" s="41"/>
      <c r="E141" s="41">
        <f t="shared" si="1"/>
        <v>0</v>
      </c>
      <c r="F141" s="41"/>
      <c r="G141" s="41"/>
    </row>
    <row r="142">
      <c r="A142" s="41"/>
      <c r="B142" s="41"/>
      <c r="C142" s="41"/>
      <c r="D142" s="41"/>
      <c r="E142" s="41">
        <f t="shared" si="1"/>
        <v>0</v>
      </c>
      <c r="F142" s="41"/>
      <c r="G142" s="41"/>
    </row>
    <row r="143">
      <c r="A143" s="41"/>
      <c r="B143" s="41"/>
      <c r="C143" s="41"/>
      <c r="D143" s="41"/>
      <c r="E143" s="41">
        <f t="shared" si="1"/>
        <v>0</v>
      </c>
      <c r="F143" s="41"/>
      <c r="G143" s="41"/>
    </row>
    <row r="144">
      <c r="A144" s="41"/>
      <c r="B144" s="41"/>
      <c r="C144" s="41"/>
      <c r="D144" s="41"/>
      <c r="E144" s="41">
        <f t="shared" si="1"/>
        <v>0</v>
      </c>
      <c r="F144" s="41"/>
      <c r="G144" s="41"/>
    </row>
    <row r="145">
      <c r="A145" s="41"/>
      <c r="B145" s="41"/>
      <c r="C145" s="41"/>
      <c r="D145" s="41"/>
      <c r="E145" s="41">
        <f t="shared" si="1"/>
        <v>0</v>
      </c>
      <c r="F145" s="41"/>
      <c r="G145" s="41"/>
    </row>
    <row r="146">
      <c r="A146" s="41"/>
      <c r="B146" s="41"/>
      <c r="C146" s="41"/>
      <c r="D146" s="41"/>
      <c r="E146" s="41">
        <f t="shared" si="1"/>
        <v>0</v>
      </c>
      <c r="F146" s="41"/>
      <c r="G146" s="41"/>
    </row>
    <row r="147">
      <c r="A147" s="41"/>
      <c r="B147" s="41"/>
      <c r="C147" s="41"/>
      <c r="D147" s="41"/>
      <c r="E147" s="41">
        <f t="shared" si="1"/>
        <v>0</v>
      </c>
      <c r="F147" s="41"/>
      <c r="G147" s="41"/>
    </row>
    <row r="148">
      <c r="A148" s="41"/>
      <c r="B148" s="41"/>
      <c r="C148" s="41"/>
      <c r="D148" s="41"/>
      <c r="E148" s="41">
        <f t="shared" si="1"/>
        <v>0</v>
      </c>
      <c r="F148" s="41"/>
      <c r="G148" s="41"/>
    </row>
    <row r="149">
      <c r="A149" s="41"/>
      <c r="B149" s="41"/>
      <c r="C149" s="41"/>
      <c r="D149" s="41"/>
      <c r="E149" s="41">
        <f t="shared" si="1"/>
        <v>0</v>
      </c>
      <c r="F149" s="41"/>
      <c r="G149" s="41"/>
    </row>
    <row r="150">
      <c r="A150" s="41"/>
      <c r="B150" s="41"/>
      <c r="C150" s="41"/>
      <c r="D150" s="41"/>
      <c r="E150" s="41">
        <f t="shared" si="1"/>
        <v>0</v>
      </c>
      <c r="F150" s="41"/>
      <c r="G150" s="41"/>
    </row>
    <row r="151">
      <c r="A151" s="41"/>
      <c r="B151" s="41"/>
      <c r="C151" s="41"/>
      <c r="D151" s="41"/>
      <c r="E151" s="41">
        <f t="shared" si="1"/>
        <v>0</v>
      </c>
      <c r="F151" s="41"/>
      <c r="G151" s="41"/>
    </row>
    <row r="152">
      <c r="A152" s="41"/>
      <c r="B152" s="41"/>
      <c r="C152" s="41"/>
      <c r="D152" s="41"/>
      <c r="E152" s="41">
        <f t="shared" si="1"/>
        <v>0</v>
      </c>
      <c r="F152" s="41"/>
      <c r="G152" s="41"/>
    </row>
    <row r="153">
      <c r="A153" s="41"/>
      <c r="B153" s="41"/>
      <c r="C153" s="41"/>
      <c r="D153" s="41"/>
      <c r="E153" s="41">
        <f t="shared" si="1"/>
        <v>0</v>
      </c>
      <c r="F153" s="41"/>
      <c r="G153" s="41"/>
    </row>
    <row r="154">
      <c r="A154" s="41"/>
      <c r="B154" s="41"/>
      <c r="C154" s="41"/>
      <c r="D154" s="41"/>
      <c r="E154" s="41">
        <f t="shared" si="1"/>
        <v>0</v>
      </c>
      <c r="F154" s="41"/>
      <c r="G154" s="41"/>
    </row>
    <row r="155">
      <c r="A155" s="41"/>
      <c r="B155" s="41"/>
      <c r="C155" s="41"/>
      <c r="D155" s="41"/>
      <c r="E155" s="41">
        <f t="shared" si="1"/>
        <v>0</v>
      </c>
      <c r="F155" s="41"/>
      <c r="G155" s="41"/>
    </row>
    <row r="156">
      <c r="A156" s="41"/>
      <c r="B156" s="41"/>
      <c r="C156" s="41"/>
      <c r="D156" s="41"/>
      <c r="E156" s="41">
        <f t="shared" si="1"/>
        <v>0</v>
      </c>
      <c r="F156" s="41"/>
      <c r="G156" s="41"/>
    </row>
    <row r="157">
      <c r="A157" s="41"/>
      <c r="B157" s="41"/>
      <c r="C157" s="41"/>
      <c r="D157" s="41"/>
      <c r="E157" s="41">
        <f t="shared" si="1"/>
        <v>0</v>
      </c>
      <c r="F157" s="41"/>
      <c r="G157" s="41"/>
    </row>
    <row r="158">
      <c r="A158" s="41"/>
      <c r="B158" s="41"/>
      <c r="C158" s="41"/>
      <c r="D158" s="41"/>
      <c r="E158" s="41">
        <f t="shared" si="1"/>
        <v>0</v>
      </c>
      <c r="F158" s="41"/>
      <c r="G158" s="41"/>
    </row>
    <row r="159">
      <c r="A159" s="41"/>
      <c r="B159" s="41"/>
      <c r="C159" s="41"/>
      <c r="D159" s="41"/>
      <c r="E159" s="41">
        <f t="shared" si="1"/>
        <v>0</v>
      </c>
      <c r="F159" s="41"/>
      <c r="G159" s="41"/>
    </row>
    <row r="160">
      <c r="A160" s="41"/>
      <c r="B160" s="41"/>
      <c r="C160" s="41"/>
      <c r="D160" s="41"/>
      <c r="E160" s="41">
        <f t="shared" si="1"/>
        <v>0</v>
      </c>
      <c r="F160" s="41"/>
      <c r="G160" s="41"/>
    </row>
    <row r="161">
      <c r="A161" s="41"/>
      <c r="B161" s="41"/>
      <c r="C161" s="41"/>
      <c r="D161" s="41"/>
      <c r="E161" s="41">
        <f t="shared" si="1"/>
        <v>0</v>
      </c>
      <c r="F161" s="41"/>
      <c r="G161" s="41"/>
    </row>
    <row r="162">
      <c r="A162" s="41"/>
      <c r="B162" s="41"/>
      <c r="C162" s="41"/>
      <c r="D162" s="41"/>
      <c r="E162" s="41">
        <f t="shared" si="1"/>
        <v>0</v>
      </c>
      <c r="F162" s="41"/>
      <c r="G162" s="41"/>
    </row>
    <row r="163">
      <c r="A163" s="41"/>
      <c r="B163" s="41"/>
      <c r="C163" s="41"/>
      <c r="D163" s="41"/>
      <c r="E163" s="41">
        <f t="shared" si="1"/>
        <v>0</v>
      </c>
      <c r="F163" s="41"/>
      <c r="G163" s="41"/>
    </row>
    <row r="164">
      <c r="A164" s="41"/>
      <c r="B164" s="41"/>
      <c r="C164" s="41"/>
      <c r="D164" s="41"/>
      <c r="E164" s="41">
        <f t="shared" si="1"/>
        <v>0</v>
      </c>
      <c r="F164" s="41"/>
      <c r="G164" s="41"/>
    </row>
    <row r="165">
      <c r="A165" s="41"/>
      <c r="B165" s="41"/>
      <c r="C165" s="41"/>
      <c r="D165" s="41"/>
      <c r="E165" s="41">
        <f t="shared" si="1"/>
        <v>0</v>
      </c>
      <c r="F165" s="41"/>
      <c r="G165" s="41"/>
    </row>
    <row r="166">
      <c r="A166" s="41"/>
      <c r="B166" s="41"/>
      <c r="C166" s="41"/>
      <c r="D166" s="41"/>
      <c r="E166" s="41">
        <f t="shared" si="1"/>
        <v>0</v>
      </c>
      <c r="F166" s="41"/>
      <c r="G166" s="41"/>
    </row>
    <row r="167">
      <c r="A167" s="41"/>
      <c r="B167" s="41"/>
      <c r="C167" s="41"/>
      <c r="D167" s="41"/>
      <c r="E167" s="41">
        <f t="shared" si="1"/>
        <v>0</v>
      </c>
      <c r="F167" s="41"/>
      <c r="G167" s="41"/>
    </row>
    <row r="168">
      <c r="A168" s="41"/>
      <c r="B168" s="41"/>
      <c r="C168" s="41"/>
      <c r="D168" s="41"/>
      <c r="E168" s="41">
        <f t="shared" si="1"/>
        <v>0</v>
      </c>
      <c r="F168" s="41"/>
      <c r="G168" s="41"/>
    </row>
    <row r="169">
      <c r="A169" s="41"/>
      <c r="B169" s="41"/>
      <c r="C169" s="41"/>
      <c r="D169" s="41"/>
      <c r="E169" s="41">
        <f t="shared" si="1"/>
        <v>0</v>
      </c>
      <c r="F169" s="41"/>
      <c r="G169" s="41"/>
    </row>
    <row r="170">
      <c r="A170" s="41"/>
      <c r="B170" s="41"/>
      <c r="C170" s="41"/>
      <c r="D170" s="41"/>
      <c r="E170" s="41">
        <f t="shared" si="1"/>
        <v>0</v>
      </c>
      <c r="F170" s="41"/>
      <c r="G170" s="41"/>
    </row>
    <row r="171">
      <c r="A171" s="41"/>
      <c r="B171" s="41"/>
      <c r="C171" s="41"/>
      <c r="D171" s="41"/>
      <c r="E171" s="41">
        <f t="shared" si="1"/>
        <v>0</v>
      </c>
      <c r="F171" s="41"/>
      <c r="G171" s="41"/>
    </row>
    <row r="172">
      <c r="A172" s="41"/>
      <c r="B172" s="41"/>
      <c r="C172" s="41"/>
      <c r="D172" s="41"/>
      <c r="E172" s="41">
        <f t="shared" si="1"/>
        <v>0</v>
      </c>
      <c r="F172" s="41"/>
      <c r="G172" s="41"/>
    </row>
    <row r="173">
      <c r="A173" s="41"/>
      <c r="B173" s="41"/>
      <c r="C173" s="41"/>
      <c r="D173" s="41"/>
      <c r="E173" s="41">
        <f t="shared" si="1"/>
        <v>0</v>
      </c>
      <c r="F173" s="41"/>
      <c r="G173" s="41"/>
    </row>
    <row r="174">
      <c r="A174" s="41"/>
      <c r="B174" s="41"/>
      <c r="C174" s="41"/>
      <c r="D174" s="41"/>
      <c r="E174" s="41">
        <f t="shared" si="1"/>
        <v>0</v>
      </c>
      <c r="F174" s="41"/>
      <c r="G174" s="41"/>
    </row>
    <row r="175">
      <c r="A175" s="41"/>
      <c r="B175" s="41"/>
      <c r="C175" s="41"/>
      <c r="D175" s="41"/>
      <c r="E175" s="41">
        <f t="shared" si="1"/>
        <v>0</v>
      </c>
      <c r="F175" s="41"/>
      <c r="G175" s="41"/>
    </row>
    <row r="176">
      <c r="A176" s="41"/>
      <c r="B176" s="41"/>
      <c r="C176" s="41"/>
      <c r="D176" s="41"/>
      <c r="E176" s="41">
        <f t="shared" si="1"/>
        <v>0</v>
      </c>
      <c r="F176" s="41"/>
      <c r="G176" s="41"/>
    </row>
    <row r="177">
      <c r="A177" s="41"/>
      <c r="B177" s="41"/>
      <c r="C177" s="41"/>
      <c r="D177" s="41"/>
      <c r="E177" s="41">
        <f t="shared" si="1"/>
        <v>0</v>
      </c>
      <c r="F177" s="41"/>
      <c r="G177" s="41"/>
    </row>
    <row r="178">
      <c r="A178" s="41"/>
      <c r="B178" s="41"/>
      <c r="C178" s="41"/>
      <c r="D178" s="41"/>
      <c r="E178" s="41">
        <f t="shared" si="1"/>
        <v>0</v>
      </c>
      <c r="F178" s="41"/>
      <c r="G178" s="41"/>
    </row>
    <row r="179">
      <c r="A179" s="41"/>
      <c r="B179" s="41"/>
      <c r="C179" s="41"/>
      <c r="D179" s="41"/>
      <c r="E179" s="41">
        <f t="shared" si="1"/>
        <v>0</v>
      </c>
      <c r="F179" s="41"/>
      <c r="G179" s="41"/>
    </row>
    <row r="180">
      <c r="A180" s="41"/>
      <c r="B180" s="41"/>
      <c r="C180" s="41"/>
      <c r="D180" s="41"/>
      <c r="E180" s="41">
        <f t="shared" si="1"/>
        <v>0</v>
      </c>
      <c r="F180" s="41"/>
      <c r="G180" s="41"/>
    </row>
    <row r="181">
      <c r="A181" s="41"/>
      <c r="B181" s="41"/>
      <c r="C181" s="41"/>
      <c r="D181" s="41"/>
      <c r="E181" s="41">
        <f t="shared" si="1"/>
        <v>0</v>
      </c>
      <c r="F181" s="41"/>
      <c r="G181" s="41"/>
    </row>
    <row r="182">
      <c r="A182" s="41"/>
      <c r="B182" s="41"/>
      <c r="C182" s="41"/>
      <c r="D182" s="41"/>
      <c r="E182" s="41">
        <f t="shared" si="1"/>
        <v>0</v>
      </c>
      <c r="F182" s="41"/>
      <c r="G182" s="41"/>
    </row>
    <row r="183">
      <c r="A183" s="41"/>
      <c r="B183" s="41"/>
      <c r="C183" s="41"/>
      <c r="D183" s="41"/>
      <c r="E183" s="41">
        <f t="shared" si="1"/>
        <v>0</v>
      </c>
      <c r="F183" s="41"/>
      <c r="G183" s="41"/>
    </row>
    <row r="184">
      <c r="A184" s="41"/>
      <c r="B184" s="41"/>
      <c r="C184" s="41"/>
      <c r="D184" s="41"/>
      <c r="E184" s="41">
        <f t="shared" si="1"/>
        <v>0</v>
      </c>
      <c r="F184" s="41"/>
      <c r="G184" s="41"/>
    </row>
    <row r="185">
      <c r="A185" s="41"/>
      <c r="B185" s="41"/>
      <c r="C185" s="41"/>
      <c r="D185" s="41"/>
      <c r="E185" s="41">
        <f t="shared" si="1"/>
        <v>0</v>
      </c>
      <c r="F185" s="41"/>
      <c r="G185" s="41"/>
    </row>
    <row r="186">
      <c r="A186" s="41"/>
      <c r="B186" s="41"/>
      <c r="C186" s="41"/>
      <c r="D186" s="41"/>
      <c r="E186" s="41">
        <f t="shared" si="1"/>
        <v>0</v>
      </c>
      <c r="F186" s="41"/>
      <c r="G186" s="41"/>
    </row>
    <row r="187">
      <c r="A187" s="41"/>
      <c r="B187" s="41"/>
      <c r="C187" s="41"/>
      <c r="D187" s="41"/>
      <c r="E187" s="41">
        <f t="shared" si="1"/>
        <v>0</v>
      </c>
      <c r="F187" s="41"/>
      <c r="G187" s="41"/>
    </row>
    <row r="188">
      <c r="A188" s="41"/>
      <c r="B188" s="41"/>
      <c r="C188" s="41"/>
      <c r="D188" s="41"/>
      <c r="E188" s="41">
        <f t="shared" si="1"/>
        <v>0</v>
      </c>
      <c r="F188" s="41"/>
      <c r="G188" s="41"/>
    </row>
    <row r="189">
      <c r="A189" s="41"/>
      <c r="B189" s="41"/>
      <c r="C189" s="41"/>
      <c r="D189" s="41"/>
      <c r="E189" s="41">
        <f t="shared" si="1"/>
        <v>0</v>
      </c>
      <c r="F189" s="41"/>
      <c r="G189" s="41"/>
    </row>
    <row r="190">
      <c r="A190" s="41"/>
      <c r="B190" s="41"/>
      <c r="C190" s="41"/>
      <c r="D190" s="41"/>
      <c r="E190" s="41">
        <f t="shared" si="1"/>
        <v>0</v>
      </c>
      <c r="F190" s="41"/>
      <c r="G190" s="41"/>
    </row>
    <row r="191">
      <c r="A191" s="41"/>
      <c r="B191" s="41"/>
      <c r="C191" s="41"/>
      <c r="D191" s="41"/>
      <c r="E191" s="41">
        <f t="shared" si="1"/>
        <v>0</v>
      </c>
      <c r="F191" s="41"/>
      <c r="G191" s="41"/>
    </row>
    <row r="192">
      <c r="A192" s="41"/>
      <c r="B192" s="41"/>
      <c r="C192" s="41"/>
      <c r="D192" s="41"/>
      <c r="E192" s="41">
        <f t="shared" si="1"/>
        <v>0</v>
      </c>
      <c r="F192" s="41"/>
      <c r="G192" s="41"/>
    </row>
    <row r="193">
      <c r="A193" s="41"/>
      <c r="B193" s="41"/>
      <c r="C193" s="41"/>
      <c r="D193" s="41"/>
      <c r="E193" s="41">
        <f t="shared" si="1"/>
        <v>0</v>
      </c>
      <c r="F193" s="41"/>
      <c r="G193" s="41"/>
    </row>
    <row r="194">
      <c r="A194" s="41"/>
      <c r="B194" s="41"/>
      <c r="C194" s="41"/>
      <c r="D194" s="41"/>
      <c r="E194" s="41">
        <f t="shared" si="1"/>
        <v>0</v>
      </c>
      <c r="F194" s="41"/>
      <c r="G194" s="41"/>
    </row>
    <row r="195">
      <c r="A195" s="41"/>
      <c r="B195" s="41"/>
      <c r="C195" s="41"/>
      <c r="D195" s="41"/>
      <c r="E195" s="41">
        <f t="shared" si="1"/>
        <v>0</v>
      </c>
      <c r="F195" s="41"/>
      <c r="G195" s="41"/>
    </row>
    <row r="196">
      <c r="A196" s="41"/>
      <c r="B196" s="41"/>
      <c r="C196" s="41"/>
      <c r="D196" s="41"/>
      <c r="E196" s="41">
        <f t="shared" si="1"/>
        <v>0</v>
      </c>
      <c r="F196" s="41"/>
      <c r="G196" s="41"/>
    </row>
    <row r="197">
      <c r="A197" s="41"/>
      <c r="B197" s="41"/>
      <c r="C197" s="41"/>
      <c r="D197" s="41"/>
      <c r="E197" s="41">
        <f t="shared" si="1"/>
        <v>0</v>
      </c>
      <c r="F197" s="41"/>
      <c r="G197" s="41"/>
    </row>
    <row r="198">
      <c r="A198" s="41"/>
      <c r="B198" s="41"/>
      <c r="C198" s="41"/>
      <c r="D198" s="41"/>
      <c r="E198" s="41">
        <f t="shared" si="1"/>
        <v>0</v>
      </c>
      <c r="F198" s="41"/>
      <c r="G198" s="41"/>
    </row>
    <row r="199">
      <c r="A199" s="41"/>
      <c r="B199" s="41"/>
      <c r="C199" s="41"/>
      <c r="D199" s="41"/>
      <c r="E199" s="41">
        <f t="shared" si="1"/>
        <v>0</v>
      </c>
      <c r="F199" s="41"/>
      <c r="G199" s="41"/>
    </row>
    <row r="200">
      <c r="A200" s="41"/>
      <c r="B200" s="41"/>
      <c r="C200" s="41"/>
      <c r="D200" s="41"/>
      <c r="E200" s="41">
        <f t="shared" si="1"/>
        <v>0</v>
      </c>
      <c r="F200" s="41"/>
      <c r="G200" s="41"/>
    </row>
    <row r="201">
      <c r="A201" s="41"/>
      <c r="B201" s="41"/>
      <c r="C201" s="41"/>
      <c r="D201" s="41"/>
      <c r="E201" s="41">
        <f t="shared" si="1"/>
        <v>0</v>
      </c>
      <c r="F201" s="41"/>
      <c r="G201" s="41"/>
    </row>
    <row r="202">
      <c r="A202" s="41"/>
      <c r="B202" s="41"/>
      <c r="C202" s="41"/>
      <c r="D202" s="41"/>
      <c r="E202" s="41">
        <f t="shared" si="1"/>
        <v>0</v>
      </c>
      <c r="F202" s="41"/>
      <c r="G202" s="41"/>
    </row>
    <row r="203">
      <c r="A203" s="41"/>
      <c r="B203" s="41"/>
      <c r="C203" s="41"/>
      <c r="D203" s="41"/>
      <c r="E203" s="41">
        <f t="shared" si="1"/>
        <v>0</v>
      </c>
      <c r="F203" s="41"/>
      <c r="G203" s="41"/>
    </row>
    <row r="204">
      <c r="A204" s="41"/>
      <c r="B204" s="41"/>
      <c r="C204" s="41"/>
      <c r="D204" s="41"/>
      <c r="E204" s="41">
        <f t="shared" si="1"/>
        <v>0</v>
      </c>
      <c r="F204" s="41"/>
      <c r="G204" s="41"/>
    </row>
    <row r="205">
      <c r="A205" s="41"/>
      <c r="B205" s="41"/>
      <c r="C205" s="41"/>
      <c r="D205" s="41"/>
      <c r="E205" s="41">
        <f t="shared" si="1"/>
        <v>0</v>
      </c>
      <c r="F205" s="41"/>
      <c r="G205" s="41"/>
    </row>
    <row r="206">
      <c r="A206" s="41"/>
      <c r="B206" s="41"/>
      <c r="C206" s="41"/>
      <c r="D206" s="41"/>
      <c r="E206" s="41">
        <f t="shared" si="1"/>
        <v>0</v>
      </c>
      <c r="F206" s="41"/>
      <c r="G206" s="41"/>
    </row>
    <row r="207">
      <c r="A207" s="41"/>
      <c r="B207" s="41"/>
      <c r="C207" s="41"/>
      <c r="D207" s="41"/>
      <c r="E207" s="41">
        <f t="shared" si="1"/>
        <v>0</v>
      </c>
      <c r="F207" s="41"/>
      <c r="G207" s="41"/>
    </row>
    <row r="208">
      <c r="A208" s="41"/>
      <c r="B208" s="41"/>
      <c r="C208" s="41"/>
      <c r="D208" s="41"/>
      <c r="E208" s="41">
        <f t="shared" si="1"/>
        <v>0</v>
      </c>
      <c r="F208" s="41"/>
      <c r="G208" s="41"/>
    </row>
    <row r="209">
      <c r="A209" s="41"/>
      <c r="B209" s="41"/>
      <c r="C209" s="41"/>
      <c r="D209" s="41"/>
      <c r="E209" s="41">
        <f t="shared" si="1"/>
        <v>0</v>
      </c>
      <c r="F209" s="41"/>
      <c r="G209" s="41"/>
    </row>
    <row r="210">
      <c r="A210" s="41"/>
      <c r="B210" s="41"/>
      <c r="C210" s="41"/>
      <c r="D210" s="41"/>
      <c r="E210" s="41">
        <f t="shared" si="1"/>
        <v>0</v>
      </c>
      <c r="F210" s="41"/>
      <c r="G210" s="41"/>
    </row>
    <row r="211">
      <c r="A211" s="41"/>
      <c r="B211" s="41"/>
      <c r="C211" s="41"/>
      <c r="D211" s="41"/>
      <c r="E211" s="41">
        <f t="shared" si="1"/>
        <v>0</v>
      </c>
      <c r="F211" s="41"/>
      <c r="G211" s="41"/>
    </row>
    <row r="212">
      <c r="A212" s="41"/>
      <c r="B212" s="41"/>
      <c r="C212" s="41"/>
      <c r="D212" s="41"/>
      <c r="E212" s="41">
        <f t="shared" si="1"/>
        <v>0</v>
      </c>
      <c r="F212" s="41"/>
      <c r="G212" s="41"/>
    </row>
    <row r="213">
      <c r="A213" s="41"/>
      <c r="B213" s="41"/>
      <c r="C213" s="41"/>
      <c r="D213" s="41"/>
      <c r="E213" s="41">
        <f t="shared" si="1"/>
        <v>0</v>
      </c>
      <c r="F213" s="41"/>
      <c r="G213" s="41"/>
    </row>
    <row r="214">
      <c r="A214" s="41"/>
      <c r="B214" s="41"/>
      <c r="C214" s="41"/>
      <c r="D214" s="41"/>
      <c r="E214" s="41">
        <f t="shared" si="1"/>
        <v>0</v>
      </c>
      <c r="F214" s="41"/>
      <c r="G214" s="41"/>
    </row>
    <row r="215">
      <c r="A215" s="41"/>
      <c r="B215" s="41"/>
      <c r="C215" s="41"/>
      <c r="D215" s="41"/>
      <c r="E215" s="41">
        <f t="shared" si="1"/>
        <v>0</v>
      </c>
      <c r="F215" s="41"/>
      <c r="G215" s="41"/>
    </row>
    <row r="216">
      <c r="A216" s="41"/>
      <c r="B216" s="41"/>
      <c r="C216" s="41"/>
      <c r="D216" s="41"/>
      <c r="E216" s="41">
        <f t="shared" si="1"/>
        <v>0</v>
      </c>
      <c r="F216" s="41"/>
      <c r="G216" s="41"/>
    </row>
    <row r="217">
      <c r="A217" s="41"/>
      <c r="B217" s="41"/>
      <c r="C217" s="41"/>
      <c r="D217" s="41"/>
      <c r="E217" s="41">
        <f t="shared" si="1"/>
        <v>0</v>
      </c>
      <c r="F217" s="41"/>
      <c r="G217" s="41"/>
    </row>
    <row r="218">
      <c r="A218" s="41"/>
      <c r="B218" s="41"/>
      <c r="C218" s="41"/>
      <c r="D218" s="41"/>
      <c r="E218" s="41">
        <f t="shared" si="1"/>
        <v>0</v>
      </c>
      <c r="F218" s="41"/>
      <c r="G218" s="41"/>
    </row>
    <row r="219">
      <c r="A219" s="41"/>
      <c r="B219" s="41"/>
      <c r="C219" s="41"/>
      <c r="D219" s="41"/>
      <c r="E219" s="41">
        <f t="shared" si="1"/>
        <v>0</v>
      </c>
      <c r="F219" s="41"/>
      <c r="G219" s="41"/>
    </row>
    <row r="220">
      <c r="A220" s="41"/>
      <c r="B220" s="41"/>
      <c r="C220" s="41"/>
      <c r="D220" s="41"/>
      <c r="E220" s="41">
        <f t="shared" si="1"/>
        <v>0</v>
      </c>
      <c r="F220" s="41"/>
      <c r="G220" s="41"/>
    </row>
    <row r="221">
      <c r="A221" s="41"/>
      <c r="B221" s="41"/>
      <c r="C221" s="41"/>
      <c r="D221" s="41"/>
      <c r="E221" s="41">
        <f t="shared" si="1"/>
        <v>0</v>
      </c>
      <c r="F221" s="41"/>
      <c r="G221" s="41"/>
    </row>
    <row r="222">
      <c r="A222" s="41"/>
      <c r="B222" s="41"/>
      <c r="C222" s="41"/>
      <c r="D222" s="41"/>
      <c r="E222" s="41">
        <f t="shared" si="1"/>
        <v>0</v>
      </c>
      <c r="F222" s="41"/>
      <c r="G222" s="41"/>
    </row>
    <row r="223">
      <c r="A223" s="41"/>
      <c r="B223" s="41"/>
      <c r="C223" s="41"/>
      <c r="D223" s="41"/>
      <c r="E223" s="41">
        <f t="shared" si="1"/>
        <v>0</v>
      </c>
      <c r="F223" s="41"/>
      <c r="G223" s="41"/>
    </row>
    <row r="224">
      <c r="A224" s="41"/>
      <c r="B224" s="41"/>
      <c r="C224" s="41"/>
      <c r="D224" s="41"/>
      <c r="E224" s="41">
        <f t="shared" si="1"/>
        <v>0</v>
      </c>
      <c r="F224" s="41"/>
      <c r="G224" s="41"/>
    </row>
    <row r="225">
      <c r="A225" s="41"/>
      <c r="B225" s="41"/>
      <c r="C225" s="41"/>
      <c r="D225" s="41"/>
      <c r="E225" s="41">
        <f t="shared" si="1"/>
        <v>0</v>
      </c>
      <c r="F225" s="41"/>
      <c r="G225" s="41"/>
    </row>
    <row r="226">
      <c r="A226" s="41"/>
      <c r="B226" s="41"/>
      <c r="C226" s="41"/>
      <c r="D226" s="41"/>
      <c r="E226" s="41">
        <f t="shared" si="1"/>
        <v>0</v>
      </c>
      <c r="F226" s="41"/>
      <c r="G226" s="41"/>
    </row>
    <row r="227">
      <c r="A227" s="41"/>
      <c r="B227" s="41"/>
      <c r="C227" s="41"/>
      <c r="D227" s="41"/>
      <c r="E227" s="41">
        <f t="shared" si="1"/>
        <v>0</v>
      </c>
      <c r="F227" s="41"/>
      <c r="G227" s="41"/>
    </row>
    <row r="228">
      <c r="A228" s="41"/>
      <c r="B228" s="41"/>
      <c r="C228" s="41"/>
      <c r="D228" s="41"/>
      <c r="E228" s="41">
        <f t="shared" si="1"/>
        <v>0</v>
      </c>
      <c r="F228" s="41"/>
      <c r="G228" s="41"/>
    </row>
    <row r="229">
      <c r="A229" s="41"/>
      <c r="B229" s="41"/>
      <c r="C229" s="41"/>
      <c r="D229" s="41"/>
      <c r="E229" s="41">
        <f t="shared" si="1"/>
        <v>0</v>
      </c>
      <c r="F229" s="41"/>
      <c r="G229" s="41"/>
    </row>
    <row r="230">
      <c r="A230" s="41"/>
      <c r="B230" s="41"/>
      <c r="C230" s="41"/>
      <c r="D230" s="41"/>
      <c r="E230" s="41">
        <f t="shared" si="1"/>
        <v>0</v>
      </c>
      <c r="F230" s="41"/>
      <c r="G230" s="41"/>
    </row>
    <row r="231">
      <c r="A231" s="41"/>
      <c r="B231" s="41"/>
      <c r="C231" s="41"/>
      <c r="D231" s="41"/>
      <c r="E231" s="41">
        <f t="shared" si="1"/>
        <v>0</v>
      </c>
      <c r="F231" s="41"/>
      <c r="G231" s="41"/>
    </row>
    <row r="232">
      <c r="A232" s="41"/>
      <c r="B232" s="41"/>
      <c r="C232" s="41"/>
      <c r="D232" s="41"/>
      <c r="E232" s="41">
        <f t="shared" si="1"/>
        <v>0</v>
      </c>
      <c r="F232" s="41"/>
      <c r="G232" s="41"/>
    </row>
    <row r="233">
      <c r="A233" s="41"/>
      <c r="B233" s="41"/>
      <c r="C233" s="41"/>
      <c r="D233" s="41"/>
      <c r="E233" s="41">
        <f t="shared" si="1"/>
        <v>0</v>
      </c>
      <c r="F233" s="41"/>
      <c r="G233" s="41"/>
    </row>
    <row r="234">
      <c r="A234" s="41"/>
      <c r="B234" s="41"/>
      <c r="C234" s="41"/>
      <c r="D234" s="41"/>
      <c r="E234" s="41">
        <f t="shared" si="1"/>
        <v>0</v>
      </c>
      <c r="F234" s="41"/>
      <c r="G234" s="41"/>
    </row>
    <row r="235">
      <c r="A235" s="41"/>
      <c r="B235" s="41"/>
      <c r="C235" s="41"/>
      <c r="D235" s="41"/>
      <c r="E235" s="41">
        <f t="shared" si="1"/>
        <v>0</v>
      </c>
      <c r="F235" s="41"/>
      <c r="G235" s="41"/>
    </row>
    <row r="236">
      <c r="A236" s="41"/>
      <c r="B236" s="41"/>
      <c r="C236" s="41"/>
      <c r="D236" s="41"/>
      <c r="E236" s="41">
        <f t="shared" si="1"/>
        <v>0</v>
      </c>
      <c r="F236" s="41"/>
      <c r="G236" s="41"/>
    </row>
    <row r="237">
      <c r="A237" s="41"/>
      <c r="B237" s="41"/>
      <c r="C237" s="41"/>
      <c r="D237" s="41"/>
      <c r="E237" s="41">
        <f t="shared" si="1"/>
        <v>0</v>
      </c>
      <c r="F237" s="41"/>
      <c r="G237" s="41"/>
    </row>
    <row r="238">
      <c r="A238" s="41"/>
      <c r="B238" s="41"/>
      <c r="C238" s="41"/>
      <c r="D238" s="41"/>
      <c r="E238" s="41">
        <f t="shared" si="1"/>
        <v>0</v>
      </c>
      <c r="F238" s="41"/>
      <c r="G238" s="41"/>
    </row>
    <row r="239">
      <c r="A239" s="41"/>
      <c r="B239" s="41"/>
      <c r="C239" s="41"/>
      <c r="D239" s="41"/>
      <c r="E239" s="41">
        <f t="shared" si="1"/>
        <v>0</v>
      </c>
      <c r="F239" s="41"/>
      <c r="G239" s="41"/>
    </row>
    <row r="240">
      <c r="A240" s="41"/>
      <c r="B240" s="41"/>
      <c r="C240" s="41"/>
      <c r="D240" s="41"/>
      <c r="E240" s="41">
        <f t="shared" si="1"/>
        <v>0</v>
      </c>
      <c r="F240" s="41"/>
      <c r="G240" s="41"/>
    </row>
    <row r="241">
      <c r="A241" s="41"/>
      <c r="B241" s="41"/>
      <c r="C241" s="41"/>
      <c r="D241" s="41"/>
      <c r="E241" s="41">
        <f t="shared" si="1"/>
        <v>0</v>
      </c>
      <c r="F241" s="41"/>
      <c r="G241" s="41"/>
    </row>
    <row r="242">
      <c r="A242" s="41"/>
      <c r="B242" s="41"/>
      <c r="C242" s="41"/>
      <c r="D242" s="41"/>
      <c r="E242" s="41">
        <f t="shared" si="1"/>
        <v>0</v>
      </c>
      <c r="F242" s="41"/>
      <c r="G242" s="41"/>
    </row>
    <row r="243">
      <c r="A243" s="41"/>
      <c r="B243" s="41"/>
      <c r="C243" s="41"/>
      <c r="D243" s="41"/>
      <c r="E243" s="41">
        <f t="shared" si="1"/>
        <v>0</v>
      </c>
      <c r="F243" s="41"/>
      <c r="G243" s="41"/>
    </row>
    <row r="244">
      <c r="A244" s="41"/>
      <c r="B244" s="41"/>
      <c r="C244" s="41"/>
      <c r="D244" s="41"/>
      <c r="E244" s="41">
        <f t="shared" si="1"/>
        <v>0</v>
      </c>
      <c r="F244" s="41"/>
      <c r="G244" s="41"/>
    </row>
    <row r="245">
      <c r="A245" s="41"/>
      <c r="B245" s="41"/>
      <c r="C245" s="41"/>
      <c r="D245" s="41"/>
      <c r="E245" s="41">
        <f t="shared" si="1"/>
        <v>0</v>
      </c>
      <c r="F245" s="41"/>
      <c r="G245" s="41"/>
    </row>
    <row r="246">
      <c r="A246" s="41"/>
      <c r="B246" s="41"/>
      <c r="C246" s="41"/>
      <c r="D246" s="41"/>
      <c r="E246" s="41">
        <f t="shared" si="1"/>
        <v>0</v>
      </c>
      <c r="F246" s="41"/>
      <c r="G246" s="41"/>
    </row>
    <row r="247">
      <c r="A247" s="41"/>
      <c r="B247" s="41"/>
      <c r="C247" s="41"/>
      <c r="D247" s="41"/>
      <c r="E247" s="41">
        <f t="shared" si="1"/>
        <v>0</v>
      </c>
      <c r="F247" s="41"/>
      <c r="G247" s="41"/>
    </row>
    <row r="248">
      <c r="A248" s="41"/>
      <c r="B248" s="41"/>
      <c r="C248" s="41"/>
      <c r="D248" s="41"/>
      <c r="E248" s="41">
        <f t="shared" si="1"/>
        <v>0</v>
      </c>
      <c r="F248" s="41"/>
      <c r="G248" s="41"/>
    </row>
    <row r="249">
      <c r="A249" s="41"/>
      <c r="B249" s="41"/>
      <c r="C249" s="41"/>
      <c r="D249" s="41"/>
      <c r="E249" s="41">
        <f t="shared" si="1"/>
        <v>0</v>
      </c>
      <c r="F249" s="41"/>
      <c r="G249" s="41"/>
    </row>
    <row r="250">
      <c r="A250" s="41"/>
      <c r="B250" s="41"/>
      <c r="C250" s="41"/>
      <c r="D250" s="41"/>
      <c r="E250" s="41">
        <f t="shared" si="1"/>
        <v>0</v>
      </c>
      <c r="F250" s="41"/>
      <c r="G250" s="41"/>
    </row>
    <row r="251">
      <c r="A251" s="41"/>
      <c r="B251" s="41"/>
      <c r="C251" s="41"/>
      <c r="D251" s="41"/>
      <c r="E251" s="41">
        <f t="shared" si="1"/>
        <v>0</v>
      </c>
      <c r="F251" s="41"/>
      <c r="G251" s="41"/>
    </row>
    <row r="252">
      <c r="A252" s="41"/>
      <c r="B252" s="41"/>
      <c r="C252" s="41"/>
      <c r="D252" s="41"/>
      <c r="E252" s="41">
        <f t="shared" si="1"/>
        <v>0</v>
      </c>
      <c r="F252" s="41"/>
      <c r="G252" s="41"/>
    </row>
    <row r="253">
      <c r="A253" s="41"/>
      <c r="B253" s="41"/>
      <c r="C253" s="41"/>
      <c r="D253" s="41"/>
      <c r="E253" s="41">
        <f t="shared" si="1"/>
        <v>0</v>
      </c>
      <c r="F253" s="41"/>
      <c r="G253" s="41"/>
    </row>
    <row r="254">
      <c r="A254" s="41"/>
      <c r="B254" s="41"/>
      <c r="C254" s="41"/>
      <c r="D254" s="41"/>
      <c r="E254" s="41">
        <f t="shared" si="1"/>
        <v>0</v>
      </c>
      <c r="F254" s="41"/>
      <c r="G254" s="41"/>
    </row>
    <row r="255">
      <c r="A255" s="41"/>
      <c r="B255" s="41"/>
      <c r="C255" s="41"/>
      <c r="D255" s="41"/>
      <c r="E255" s="41">
        <f t="shared" si="1"/>
        <v>0</v>
      </c>
      <c r="F255" s="41"/>
      <c r="G255" s="41"/>
    </row>
    <row r="256">
      <c r="A256" s="41"/>
      <c r="B256" s="41"/>
      <c r="C256" s="41"/>
      <c r="D256" s="41"/>
      <c r="E256" s="41">
        <f t="shared" si="1"/>
        <v>0</v>
      </c>
      <c r="F256" s="41"/>
      <c r="G256" s="41"/>
    </row>
    <row r="257">
      <c r="A257" s="41"/>
      <c r="B257" s="41"/>
      <c r="C257" s="41"/>
      <c r="D257" s="41"/>
      <c r="E257" s="41">
        <f t="shared" si="1"/>
        <v>0</v>
      </c>
      <c r="F257" s="41"/>
      <c r="G257" s="41"/>
    </row>
    <row r="258">
      <c r="A258" s="41"/>
      <c r="B258" s="41"/>
      <c r="C258" s="41"/>
      <c r="D258" s="41"/>
      <c r="E258" s="41">
        <f t="shared" si="1"/>
        <v>0</v>
      </c>
      <c r="F258" s="41"/>
      <c r="G258" s="41"/>
    </row>
    <row r="259">
      <c r="A259" s="41"/>
      <c r="B259" s="41"/>
      <c r="C259" s="41"/>
      <c r="D259" s="41"/>
      <c r="E259" s="41">
        <f t="shared" si="1"/>
        <v>0</v>
      </c>
      <c r="F259" s="41"/>
      <c r="G259" s="41"/>
    </row>
    <row r="260">
      <c r="A260" s="41"/>
      <c r="B260" s="41"/>
      <c r="C260" s="41"/>
      <c r="D260" s="41"/>
      <c r="E260" s="41">
        <f t="shared" si="1"/>
        <v>0</v>
      </c>
      <c r="F260" s="41"/>
      <c r="G260" s="41"/>
    </row>
    <row r="261">
      <c r="A261" s="41"/>
      <c r="B261" s="41"/>
      <c r="C261" s="41"/>
      <c r="D261" s="41"/>
      <c r="E261" s="41">
        <f t="shared" si="1"/>
        <v>0</v>
      </c>
      <c r="F261" s="41"/>
      <c r="G261" s="41"/>
    </row>
    <row r="262">
      <c r="A262" s="41"/>
      <c r="B262" s="41"/>
      <c r="C262" s="41"/>
      <c r="D262" s="41"/>
      <c r="E262" s="41">
        <f t="shared" si="1"/>
        <v>0</v>
      </c>
      <c r="F262" s="41"/>
      <c r="G262" s="41"/>
    </row>
    <row r="263">
      <c r="A263" s="41"/>
      <c r="B263" s="41"/>
      <c r="C263" s="41"/>
      <c r="D263" s="41"/>
      <c r="E263" s="41">
        <f t="shared" si="1"/>
        <v>0</v>
      </c>
      <c r="F263" s="41"/>
      <c r="G263" s="41"/>
    </row>
    <row r="264">
      <c r="A264" s="41"/>
      <c r="B264" s="41"/>
      <c r="C264" s="41"/>
      <c r="D264" s="41"/>
      <c r="E264" s="41">
        <f t="shared" si="1"/>
        <v>0</v>
      </c>
      <c r="F264" s="41"/>
      <c r="G264" s="41"/>
    </row>
    <row r="265">
      <c r="A265" s="41"/>
      <c r="B265" s="41"/>
      <c r="C265" s="41"/>
      <c r="D265" s="41"/>
      <c r="E265" s="41">
        <f t="shared" si="1"/>
        <v>0</v>
      </c>
      <c r="F265" s="41"/>
      <c r="G265" s="41"/>
    </row>
    <row r="266">
      <c r="A266" s="41"/>
      <c r="B266" s="41"/>
      <c r="C266" s="41"/>
      <c r="D266" s="41"/>
      <c r="E266" s="41">
        <f t="shared" si="1"/>
        <v>0</v>
      </c>
      <c r="F266" s="41"/>
      <c r="G266" s="41"/>
    </row>
    <row r="267">
      <c r="A267" s="41"/>
      <c r="B267" s="41"/>
      <c r="C267" s="41"/>
      <c r="D267" s="41"/>
      <c r="E267" s="41">
        <f t="shared" si="1"/>
        <v>0</v>
      </c>
      <c r="F267" s="41"/>
      <c r="G267" s="41"/>
    </row>
    <row r="268">
      <c r="A268" s="41"/>
      <c r="B268" s="41"/>
      <c r="C268" s="41"/>
      <c r="D268" s="41"/>
      <c r="E268" s="41">
        <f t="shared" si="1"/>
        <v>0</v>
      </c>
      <c r="F268" s="41"/>
      <c r="G268" s="41"/>
    </row>
    <row r="269">
      <c r="A269" s="41"/>
      <c r="B269" s="41"/>
      <c r="C269" s="41"/>
      <c r="D269" s="41"/>
      <c r="E269" s="41">
        <f t="shared" si="1"/>
        <v>0</v>
      </c>
      <c r="F269" s="41"/>
      <c r="G269" s="41"/>
    </row>
    <row r="270">
      <c r="A270" s="41"/>
      <c r="B270" s="41"/>
      <c r="C270" s="41"/>
      <c r="D270" s="41"/>
      <c r="E270" s="41">
        <f t="shared" si="1"/>
        <v>0</v>
      </c>
      <c r="F270" s="41"/>
      <c r="G270" s="41"/>
    </row>
    <row r="271">
      <c r="A271" s="41"/>
      <c r="B271" s="41"/>
      <c r="C271" s="41"/>
      <c r="D271" s="41"/>
      <c r="E271" s="41">
        <f t="shared" si="1"/>
        <v>0</v>
      </c>
      <c r="F271" s="41"/>
      <c r="G271" s="41"/>
    </row>
    <row r="272">
      <c r="A272" s="41"/>
      <c r="B272" s="41"/>
      <c r="C272" s="41"/>
      <c r="D272" s="41"/>
      <c r="E272" s="41">
        <f t="shared" si="1"/>
        <v>0</v>
      </c>
      <c r="F272" s="41"/>
      <c r="G272" s="41"/>
    </row>
    <row r="273">
      <c r="A273" s="41"/>
      <c r="B273" s="41"/>
      <c r="C273" s="41"/>
      <c r="D273" s="41"/>
      <c r="E273" s="41">
        <f t="shared" si="1"/>
        <v>0</v>
      </c>
      <c r="F273" s="41"/>
      <c r="G273" s="41"/>
    </row>
    <row r="274">
      <c r="A274" s="41"/>
      <c r="B274" s="41"/>
      <c r="C274" s="41"/>
      <c r="D274" s="41"/>
      <c r="E274" s="41">
        <f t="shared" si="1"/>
        <v>0</v>
      </c>
      <c r="F274" s="41"/>
      <c r="G274" s="41"/>
    </row>
    <row r="275">
      <c r="A275" s="41"/>
      <c r="B275" s="41"/>
      <c r="C275" s="41"/>
      <c r="D275" s="41"/>
      <c r="E275" s="41">
        <f t="shared" si="1"/>
        <v>0</v>
      </c>
      <c r="F275" s="41"/>
      <c r="G275" s="41"/>
    </row>
    <row r="276">
      <c r="A276" s="41"/>
      <c r="B276" s="41"/>
      <c r="C276" s="41"/>
      <c r="D276" s="41"/>
      <c r="E276" s="41">
        <f t="shared" si="1"/>
        <v>0</v>
      </c>
      <c r="F276" s="41"/>
      <c r="G276" s="41"/>
    </row>
    <row r="277">
      <c r="A277" s="41"/>
      <c r="B277" s="41"/>
      <c r="C277" s="41"/>
      <c r="D277" s="41"/>
      <c r="E277" s="41">
        <f t="shared" si="1"/>
        <v>0</v>
      </c>
      <c r="F277" s="41"/>
      <c r="G277" s="41"/>
    </row>
    <row r="278">
      <c r="A278" s="41"/>
      <c r="B278" s="41"/>
      <c r="C278" s="41"/>
      <c r="D278" s="41"/>
      <c r="E278" s="41">
        <f t="shared" si="1"/>
        <v>0</v>
      </c>
      <c r="F278" s="41"/>
      <c r="G278" s="41"/>
    </row>
    <row r="279">
      <c r="A279" s="41"/>
      <c r="B279" s="41"/>
      <c r="C279" s="41"/>
      <c r="D279" s="41"/>
      <c r="E279" s="41">
        <f t="shared" si="1"/>
        <v>0</v>
      </c>
      <c r="F279" s="41"/>
      <c r="G279" s="41"/>
    </row>
    <row r="280">
      <c r="A280" s="41"/>
      <c r="B280" s="41"/>
      <c r="C280" s="41"/>
      <c r="D280" s="41"/>
      <c r="E280" s="41">
        <f t="shared" si="1"/>
        <v>0</v>
      </c>
      <c r="F280" s="41"/>
      <c r="G280" s="41"/>
    </row>
    <row r="281">
      <c r="A281" s="41"/>
      <c r="B281" s="41"/>
      <c r="C281" s="41"/>
      <c r="D281" s="41"/>
      <c r="E281" s="41">
        <f t="shared" si="1"/>
        <v>0</v>
      </c>
      <c r="F281" s="41"/>
      <c r="G281" s="41"/>
    </row>
    <row r="282">
      <c r="A282" s="41"/>
      <c r="B282" s="41"/>
      <c r="C282" s="41"/>
      <c r="D282" s="41"/>
      <c r="E282" s="41">
        <f t="shared" si="1"/>
        <v>0</v>
      </c>
      <c r="F282" s="41"/>
      <c r="G282" s="41"/>
    </row>
    <row r="283">
      <c r="A283" s="41"/>
      <c r="B283" s="41"/>
      <c r="C283" s="41"/>
      <c r="D283" s="41"/>
      <c r="E283" s="41">
        <f t="shared" si="1"/>
        <v>0</v>
      </c>
      <c r="F283" s="41"/>
      <c r="G283" s="41"/>
    </row>
    <row r="284">
      <c r="A284" s="41"/>
      <c r="B284" s="41"/>
      <c r="C284" s="41"/>
      <c r="D284" s="41"/>
      <c r="E284" s="41">
        <f t="shared" si="1"/>
        <v>0</v>
      </c>
      <c r="F284" s="41"/>
      <c r="G284" s="41"/>
    </row>
    <row r="285">
      <c r="A285" s="41"/>
      <c r="B285" s="41"/>
      <c r="C285" s="41"/>
      <c r="D285" s="41"/>
      <c r="E285" s="41">
        <f t="shared" si="1"/>
        <v>0</v>
      </c>
      <c r="F285" s="41"/>
      <c r="G285" s="41"/>
    </row>
    <row r="286">
      <c r="A286" s="41"/>
      <c r="B286" s="41"/>
      <c r="C286" s="41"/>
      <c r="D286" s="41"/>
      <c r="E286" s="41">
        <f t="shared" si="1"/>
        <v>0</v>
      </c>
      <c r="F286" s="41"/>
      <c r="G286" s="41"/>
    </row>
    <row r="287">
      <c r="A287" s="41"/>
      <c r="B287" s="41"/>
      <c r="C287" s="41"/>
      <c r="D287" s="41"/>
      <c r="E287" s="41">
        <f t="shared" si="1"/>
        <v>0</v>
      </c>
      <c r="F287" s="41"/>
      <c r="G287" s="41"/>
    </row>
    <row r="288">
      <c r="A288" s="41"/>
      <c r="B288" s="41"/>
      <c r="C288" s="41"/>
      <c r="D288" s="41"/>
      <c r="E288" s="41">
        <f t="shared" si="1"/>
        <v>0</v>
      </c>
      <c r="F288" s="41"/>
      <c r="G288" s="41"/>
    </row>
    <row r="289">
      <c r="A289" s="41"/>
      <c r="B289" s="41"/>
      <c r="C289" s="41"/>
      <c r="D289" s="41"/>
      <c r="E289" s="41">
        <f t="shared" si="1"/>
        <v>0</v>
      </c>
      <c r="F289" s="41"/>
      <c r="G289" s="41"/>
    </row>
    <row r="290">
      <c r="A290" s="41"/>
      <c r="B290" s="41"/>
      <c r="C290" s="41"/>
      <c r="D290" s="41"/>
      <c r="E290" s="41">
        <f t="shared" si="1"/>
        <v>0</v>
      </c>
      <c r="F290" s="41"/>
      <c r="G290" s="41"/>
    </row>
    <row r="291">
      <c r="A291" s="41"/>
      <c r="B291" s="41"/>
      <c r="C291" s="41"/>
      <c r="D291" s="41"/>
      <c r="E291" s="41">
        <f t="shared" si="1"/>
        <v>0</v>
      </c>
      <c r="F291" s="41"/>
      <c r="G291" s="41"/>
    </row>
    <row r="292">
      <c r="A292" s="41"/>
      <c r="B292" s="41"/>
      <c r="C292" s="41"/>
      <c r="D292" s="41"/>
      <c r="E292" s="41">
        <f t="shared" si="1"/>
        <v>0</v>
      </c>
      <c r="F292" s="41"/>
      <c r="G292" s="41"/>
    </row>
    <row r="293">
      <c r="A293" s="41"/>
      <c r="B293" s="41"/>
      <c r="C293" s="41"/>
      <c r="D293" s="41"/>
      <c r="E293" s="41">
        <f t="shared" si="1"/>
        <v>0</v>
      </c>
      <c r="F293" s="41"/>
      <c r="G293" s="41"/>
    </row>
    <row r="294">
      <c r="A294" s="41"/>
      <c r="B294" s="41"/>
      <c r="C294" s="41"/>
      <c r="D294" s="41"/>
      <c r="E294" s="41">
        <f t="shared" si="1"/>
        <v>0</v>
      </c>
      <c r="F294" s="41"/>
      <c r="G294" s="41"/>
    </row>
    <row r="295">
      <c r="A295" s="41"/>
      <c r="B295" s="41"/>
      <c r="C295" s="41"/>
      <c r="D295" s="41"/>
      <c r="E295" s="41">
        <f t="shared" si="1"/>
        <v>0</v>
      </c>
      <c r="F295" s="41"/>
      <c r="G295" s="41"/>
    </row>
    <row r="296">
      <c r="A296" s="41"/>
      <c r="B296" s="41"/>
      <c r="C296" s="41"/>
      <c r="D296" s="41"/>
      <c r="E296" s="41">
        <f t="shared" si="1"/>
        <v>0</v>
      </c>
      <c r="F296" s="41"/>
      <c r="G296" s="41"/>
    </row>
    <row r="297">
      <c r="A297" s="41"/>
      <c r="B297" s="41"/>
      <c r="C297" s="41"/>
      <c r="D297" s="41"/>
      <c r="E297" s="41">
        <f t="shared" si="1"/>
        <v>0</v>
      </c>
      <c r="F297" s="41"/>
      <c r="G297" s="41"/>
    </row>
    <row r="298">
      <c r="A298" s="41"/>
      <c r="B298" s="41"/>
      <c r="C298" s="41"/>
      <c r="D298" s="41"/>
      <c r="E298" s="41">
        <f t="shared" si="1"/>
        <v>0</v>
      </c>
      <c r="F298" s="41"/>
      <c r="G298" s="41"/>
    </row>
    <row r="299">
      <c r="A299" s="41"/>
      <c r="B299" s="41"/>
      <c r="C299" s="41"/>
      <c r="D299" s="41"/>
      <c r="E299" s="41">
        <f t="shared" si="1"/>
        <v>0</v>
      </c>
      <c r="F299" s="41"/>
      <c r="G299" s="41"/>
    </row>
    <row r="300">
      <c r="A300" s="41"/>
      <c r="B300" s="41"/>
      <c r="C300" s="41"/>
      <c r="D300" s="41"/>
      <c r="E300" s="41">
        <f t="shared" si="1"/>
        <v>0</v>
      </c>
      <c r="F300" s="41"/>
      <c r="G300" s="41"/>
    </row>
    <row r="301">
      <c r="A301" s="41"/>
      <c r="B301" s="41"/>
      <c r="C301" s="41"/>
      <c r="D301" s="41"/>
      <c r="E301" s="41">
        <f t="shared" si="1"/>
        <v>0</v>
      </c>
      <c r="F301" s="41"/>
      <c r="G301" s="41"/>
    </row>
    <row r="302">
      <c r="A302" s="41"/>
      <c r="B302" s="41"/>
      <c r="C302" s="41"/>
      <c r="D302" s="41"/>
      <c r="E302" s="41">
        <f t="shared" si="1"/>
        <v>0</v>
      </c>
      <c r="F302" s="41"/>
      <c r="G302" s="41"/>
    </row>
    <row r="303">
      <c r="A303" s="41"/>
      <c r="B303" s="41"/>
      <c r="C303" s="41"/>
      <c r="D303" s="41"/>
      <c r="E303" s="41">
        <f t="shared" si="1"/>
        <v>0</v>
      </c>
      <c r="F303" s="41"/>
      <c r="G303" s="41"/>
    </row>
    <row r="304">
      <c r="A304" s="41"/>
      <c r="B304" s="41"/>
      <c r="C304" s="41"/>
      <c r="D304" s="41"/>
      <c r="E304" s="41">
        <f t="shared" si="1"/>
        <v>0</v>
      </c>
      <c r="F304" s="41"/>
      <c r="G304" s="41"/>
    </row>
    <row r="305">
      <c r="A305" s="41"/>
      <c r="B305" s="41"/>
      <c r="C305" s="41"/>
      <c r="D305" s="41"/>
      <c r="E305" s="41">
        <f t="shared" si="1"/>
        <v>0</v>
      </c>
      <c r="F305" s="41"/>
      <c r="G305" s="41"/>
    </row>
    <row r="306">
      <c r="A306" s="41"/>
      <c r="B306" s="41"/>
      <c r="C306" s="41"/>
      <c r="D306" s="41"/>
      <c r="E306" s="41">
        <f t="shared" si="1"/>
        <v>0</v>
      </c>
      <c r="F306" s="41"/>
      <c r="G306" s="41"/>
    </row>
    <row r="307">
      <c r="A307" s="41"/>
      <c r="B307" s="41"/>
      <c r="C307" s="41"/>
      <c r="D307" s="41"/>
      <c r="E307" s="41">
        <f t="shared" si="1"/>
        <v>0</v>
      </c>
      <c r="F307" s="41"/>
      <c r="G307" s="41"/>
    </row>
    <row r="308">
      <c r="A308" s="41"/>
      <c r="B308" s="41"/>
      <c r="C308" s="41"/>
      <c r="D308" s="41"/>
      <c r="E308" s="41">
        <f t="shared" si="1"/>
        <v>0</v>
      </c>
      <c r="F308" s="41"/>
      <c r="G308" s="41"/>
    </row>
    <row r="309">
      <c r="A309" s="41"/>
      <c r="B309" s="41"/>
      <c r="C309" s="41"/>
      <c r="D309" s="41"/>
      <c r="E309" s="41">
        <f t="shared" si="1"/>
        <v>0</v>
      </c>
      <c r="F309" s="41"/>
      <c r="G309" s="41"/>
    </row>
    <row r="310">
      <c r="A310" s="41"/>
      <c r="B310" s="41"/>
      <c r="C310" s="41"/>
      <c r="D310" s="41"/>
      <c r="E310" s="41">
        <f t="shared" si="1"/>
        <v>0</v>
      </c>
      <c r="F310" s="41"/>
      <c r="G310" s="41"/>
    </row>
    <row r="311">
      <c r="A311" s="41"/>
      <c r="B311" s="41"/>
      <c r="C311" s="41"/>
      <c r="D311" s="41"/>
      <c r="E311" s="41">
        <f t="shared" si="1"/>
        <v>0</v>
      </c>
      <c r="F311" s="41"/>
      <c r="G311" s="41"/>
    </row>
    <row r="312">
      <c r="A312" s="41"/>
      <c r="B312" s="41"/>
      <c r="C312" s="41"/>
      <c r="D312" s="41"/>
      <c r="E312" s="41">
        <f t="shared" si="1"/>
        <v>0</v>
      </c>
      <c r="F312" s="41"/>
      <c r="G312" s="41"/>
    </row>
    <row r="313">
      <c r="A313" s="41"/>
      <c r="B313" s="41"/>
      <c r="C313" s="41"/>
      <c r="D313" s="41"/>
      <c r="E313" s="41">
        <f t="shared" si="1"/>
        <v>0</v>
      </c>
      <c r="F313" s="41"/>
      <c r="G313" s="41"/>
    </row>
    <row r="314">
      <c r="A314" s="41"/>
      <c r="B314" s="41"/>
      <c r="C314" s="41"/>
      <c r="D314" s="41"/>
      <c r="E314" s="41">
        <f t="shared" si="1"/>
        <v>0</v>
      </c>
      <c r="F314" s="41"/>
      <c r="G314" s="41"/>
    </row>
    <row r="315">
      <c r="A315" s="41"/>
      <c r="B315" s="41"/>
      <c r="C315" s="41"/>
      <c r="D315" s="41"/>
      <c r="E315" s="41">
        <f t="shared" si="1"/>
        <v>0</v>
      </c>
      <c r="F315" s="41"/>
      <c r="G315" s="41"/>
    </row>
    <row r="316">
      <c r="A316" s="41"/>
      <c r="B316" s="41"/>
      <c r="C316" s="41"/>
      <c r="D316" s="41"/>
      <c r="E316" s="41">
        <f t="shared" si="1"/>
        <v>0</v>
      </c>
      <c r="F316" s="41"/>
      <c r="G316" s="41"/>
    </row>
    <row r="317">
      <c r="A317" s="41"/>
      <c r="B317" s="41"/>
      <c r="C317" s="41"/>
      <c r="D317" s="41"/>
      <c r="E317" s="41">
        <f t="shared" si="1"/>
        <v>0</v>
      </c>
      <c r="F317" s="41"/>
      <c r="G317" s="41"/>
    </row>
    <row r="318">
      <c r="A318" s="41"/>
      <c r="B318" s="41"/>
      <c r="C318" s="41"/>
      <c r="D318" s="41"/>
      <c r="E318" s="41">
        <f t="shared" si="1"/>
        <v>0</v>
      </c>
      <c r="F318" s="41"/>
      <c r="G318" s="41"/>
    </row>
    <row r="319">
      <c r="A319" s="41"/>
      <c r="B319" s="41"/>
      <c r="C319" s="41"/>
      <c r="D319" s="41"/>
      <c r="E319" s="41">
        <f t="shared" si="1"/>
        <v>0</v>
      </c>
      <c r="F319" s="41"/>
      <c r="G319" s="41"/>
    </row>
    <row r="320">
      <c r="A320" s="41"/>
      <c r="B320" s="41"/>
      <c r="C320" s="41"/>
      <c r="D320" s="41"/>
      <c r="E320" s="41">
        <f t="shared" si="1"/>
        <v>0</v>
      </c>
      <c r="F320" s="41"/>
      <c r="G320" s="41"/>
    </row>
    <row r="321">
      <c r="A321" s="41"/>
      <c r="B321" s="41"/>
      <c r="C321" s="41"/>
      <c r="D321" s="41"/>
      <c r="E321" s="41">
        <f t="shared" si="1"/>
        <v>0</v>
      </c>
      <c r="F321" s="41"/>
      <c r="G321" s="41"/>
    </row>
    <row r="322">
      <c r="A322" s="41"/>
      <c r="B322" s="41"/>
      <c r="C322" s="41"/>
      <c r="D322" s="41"/>
      <c r="E322" s="41">
        <f t="shared" si="1"/>
        <v>0</v>
      </c>
      <c r="F322" s="41"/>
      <c r="G322" s="41"/>
    </row>
    <row r="323">
      <c r="A323" s="41"/>
      <c r="B323" s="41"/>
      <c r="C323" s="41"/>
      <c r="D323" s="41"/>
      <c r="E323" s="41">
        <f t="shared" si="1"/>
        <v>0</v>
      </c>
      <c r="F323" s="41"/>
      <c r="G323" s="41"/>
    </row>
    <row r="324">
      <c r="A324" s="41"/>
      <c r="B324" s="41"/>
      <c r="C324" s="41"/>
      <c r="D324" s="41"/>
      <c r="E324" s="41">
        <f t="shared" si="1"/>
        <v>0</v>
      </c>
      <c r="F324" s="41"/>
      <c r="G324" s="41"/>
    </row>
    <row r="325">
      <c r="A325" s="41"/>
      <c r="B325" s="41"/>
      <c r="C325" s="41"/>
      <c r="D325" s="41"/>
      <c r="E325" s="41">
        <f t="shared" si="1"/>
        <v>0</v>
      </c>
      <c r="F325" s="41"/>
      <c r="G325" s="41"/>
    </row>
    <row r="326">
      <c r="A326" s="41"/>
      <c r="B326" s="41"/>
      <c r="C326" s="41"/>
      <c r="D326" s="41"/>
      <c r="E326" s="41">
        <f t="shared" si="1"/>
        <v>0</v>
      </c>
      <c r="F326" s="41"/>
      <c r="G326" s="41"/>
    </row>
    <row r="327">
      <c r="A327" s="41"/>
      <c r="B327" s="41"/>
      <c r="C327" s="41"/>
      <c r="D327" s="41"/>
      <c r="E327" s="41">
        <f t="shared" si="1"/>
        <v>0</v>
      </c>
      <c r="F327" s="41"/>
      <c r="G327" s="41"/>
    </row>
    <row r="328">
      <c r="A328" s="41"/>
      <c r="B328" s="41"/>
      <c r="C328" s="41"/>
      <c r="D328" s="41"/>
      <c r="E328" s="41">
        <f t="shared" si="1"/>
        <v>0</v>
      </c>
      <c r="F328" s="41"/>
      <c r="G328" s="41"/>
    </row>
    <row r="329">
      <c r="A329" s="41"/>
      <c r="B329" s="41"/>
      <c r="C329" s="41"/>
      <c r="D329" s="41"/>
      <c r="E329" s="41">
        <f t="shared" si="1"/>
        <v>0</v>
      </c>
      <c r="F329" s="41"/>
      <c r="G329" s="41"/>
    </row>
    <row r="330">
      <c r="A330" s="41"/>
      <c r="B330" s="41"/>
      <c r="C330" s="41"/>
      <c r="D330" s="41"/>
      <c r="E330" s="41">
        <f t="shared" si="1"/>
        <v>0</v>
      </c>
      <c r="F330" s="41"/>
      <c r="G330" s="41"/>
    </row>
    <row r="331">
      <c r="A331" s="41"/>
      <c r="B331" s="41"/>
      <c r="C331" s="41"/>
      <c r="D331" s="41"/>
      <c r="E331" s="41">
        <f t="shared" si="1"/>
        <v>0</v>
      </c>
      <c r="F331" s="41"/>
      <c r="G331" s="41"/>
    </row>
    <row r="332">
      <c r="A332" s="41"/>
      <c r="B332" s="41"/>
      <c r="C332" s="41"/>
      <c r="D332" s="41"/>
      <c r="E332" s="41">
        <f t="shared" si="1"/>
        <v>0</v>
      </c>
      <c r="F332" s="41"/>
      <c r="G332" s="41"/>
    </row>
    <row r="333">
      <c r="A333" s="41"/>
      <c r="B333" s="41"/>
      <c r="C333" s="41"/>
      <c r="D333" s="41"/>
      <c r="E333" s="41">
        <f t="shared" si="1"/>
        <v>0</v>
      </c>
      <c r="F333" s="41"/>
      <c r="G333" s="41"/>
    </row>
    <row r="334">
      <c r="A334" s="41"/>
      <c r="B334" s="41"/>
      <c r="C334" s="41"/>
      <c r="D334" s="41"/>
      <c r="E334" s="41">
        <f t="shared" si="1"/>
        <v>0</v>
      </c>
      <c r="F334" s="41"/>
      <c r="G334" s="41"/>
    </row>
    <row r="335">
      <c r="A335" s="41"/>
      <c r="B335" s="41"/>
      <c r="C335" s="41"/>
      <c r="D335" s="41"/>
      <c r="E335" s="41">
        <f t="shared" si="1"/>
        <v>0</v>
      </c>
      <c r="F335" s="41"/>
      <c r="G335" s="41"/>
    </row>
    <row r="336">
      <c r="A336" s="41"/>
      <c r="B336" s="41"/>
      <c r="C336" s="41"/>
      <c r="D336" s="41"/>
      <c r="E336" s="41">
        <f t="shared" si="1"/>
        <v>0</v>
      </c>
      <c r="F336" s="41"/>
      <c r="G336" s="41"/>
    </row>
    <row r="337">
      <c r="A337" s="41"/>
      <c r="B337" s="41"/>
      <c r="C337" s="41"/>
      <c r="D337" s="41"/>
      <c r="E337" s="41">
        <f t="shared" si="1"/>
        <v>0</v>
      </c>
      <c r="F337" s="41"/>
      <c r="G337" s="41"/>
    </row>
    <row r="338">
      <c r="A338" s="41"/>
      <c r="B338" s="41"/>
      <c r="C338" s="41"/>
      <c r="D338" s="41"/>
      <c r="E338" s="41">
        <f t="shared" si="1"/>
        <v>0</v>
      </c>
      <c r="F338" s="41"/>
      <c r="G338" s="41"/>
    </row>
    <row r="339">
      <c r="A339" s="41"/>
      <c r="B339" s="41"/>
      <c r="C339" s="41"/>
      <c r="D339" s="41"/>
      <c r="E339" s="41">
        <f t="shared" si="1"/>
        <v>0</v>
      </c>
      <c r="F339" s="41"/>
      <c r="G339" s="41"/>
    </row>
    <row r="340">
      <c r="A340" s="41"/>
      <c r="B340" s="41"/>
      <c r="C340" s="41"/>
      <c r="D340" s="41"/>
      <c r="E340" s="41">
        <f t="shared" si="1"/>
        <v>0</v>
      </c>
      <c r="F340" s="41"/>
      <c r="G340" s="41"/>
    </row>
    <row r="341">
      <c r="A341" s="41"/>
      <c r="B341" s="41"/>
      <c r="C341" s="41"/>
      <c r="D341" s="41"/>
      <c r="E341" s="41">
        <f t="shared" si="1"/>
        <v>0</v>
      </c>
      <c r="F341" s="41"/>
      <c r="G341" s="41"/>
    </row>
    <row r="342">
      <c r="A342" s="41"/>
      <c r="B342" s="41"/>
      <c r="C342" s="41"/>
      <c r="D342" s="41"/>
      <c r="E342" s="41">
        <f t="shared" si="1"/>
        <v>0</v>
      </c>
      <c r="F342" s="41"/>
      <c r="G342" s="41"/>
    </row>
    <row r="343">
      <c r="A343" s="41"/>
      <c r="B343" s="41"/>
      <c r="C343" s="41"/>
      <c r="D343" s="41"/>
      <c r="E343" s="41">
        <f t="shared" si="1"/>
        <v>0</v>
      </c>
      <c r="F343" s="41"/>
      <c r="G343" s="41"/>
    </row>
    <row r="344">
      <c r="A344" s="41"/>
      <c r="B344" s="41"/>
      <c r="C344" s="41"/>
      <c r="D344" s="41"/>
      <c r="E344" s="41">
        <f t="shared" si="1"/>
        <v>0</v>
      </c>
      <c r="F344" s="41"/>
      <c r="G344" s="41"/>
    </row>
    <row r="345">
      <c r="A345" s="41"/>
      <c r="B345" s="41"/>
      <c r="C345" s="41"/>
      <c r="D345" s="41"/>
      <c r="E345" s="41">
        <f t="shared" si="1"/>
        <v>0</v>
      </c>
      <c r="F345" s="41"/>
      <c r="G345" s="41"/>
    </row>
    <row r="346">
      <c r="A346" s="41"/>
      <c r="B346" s="41"/>
      <c r="C346" s="41"/>
      <c r="D346" s="41"/>
      <c r="E346" s="41">
        <f t="shared" si="1"/>
        <v>0</v>
      </c>
      <c r="F346" s="41"/>
      <c r="G346" s="41"/>
    </row>
    <row r="347">
      <c r="A347" s="41"/>
      <c r="B347" s="41"/>
      <c r="C347" s="41"/>
      <c r="D347" s="41"/>
      <c r="E347" s="41">
        <f t="shared" si="1"/>
        <v>0</v>
      </c>
      <c r="F347" s="41"/>
      <c r="G347" s="41"/>
    </row>
    <row r="348">
      <c r="A348" s="41"/>
      <c r="B348" s="41"/>
      <c r="C348" s="41"/>
      <c r="D348" s="41"/>
      <c r="E348" s="41">
        <f t="shared" si="1"/>
        <v>0</v>
      </c>
      <c r="F348" s="41"/>
      <c r="G348" s="41"/>
    </row>
    <row r="349">
      <c r="A349" s="41"/>
      <c r="B349" s="41"/>
      <c r="C349" s="41"/>
      <c r="D349" s="41"/>
      <c r="E349" s="41">
        <f t="shared" si="1"/>
        <v>0</v>
      </c>
      <c r="F349" s="41"/>
      <c r="G349" s="41"/>
    </row>
    <row r="350">
      <c r="A350" s="41"/>
      <c r="B350" s="41"/>
      <c r="C350" s="41"/>
      <c r="D350" s="41"/>
      <c r="E350" s="41">
        <f t="shared" si="1"/>
        <v>0</v>
      </c>
      <c r="F350" s="41"/>
      <c r="G350" s="41"/>
    </row>
    <row r="351">
      <c r="A351" s="41"/>
      <c r="B351" s="41"/>
      <c r="C351" s="41"/>
      <c r="D351" s="41"/>
      <c r="E351" s="41">
        <f t="shared" si="1"/>
        <v>0</v>
      </c>
      <c r="F351" s="41"/>
      <c r="G351" s="41"/>
    </row>
    <row r="352">
      <c r="A352" s="41"/>
      <c r="B352" s="41"/>
      <c r="C352" s="41"/>
      <c r="D352" s="41"/>
      <c r="E352" s="41">
        <f t="shared" si="1"/>
        <v>0</v>
      </c>
      <c r="F352" s="41"/>
      <c r="G352" s="41"/>
    </row>
    <row r="353">
      <c r="A353" s="41"/>
      <c r="B353" s="41"/>
      <c r="C353" s="41"/>
      <c r="D353" s="41"/>
      <c r="E353" s="41">
        <f t="shared" si="1"/>
        <v>0</v>
      </c>
      <c r="F353" s="41"/>
      <c r="G353" s="41"/>
    </row>
    <row r="354">
      <c r="A354" s="41"/>
      <c r="B354" s="41"/>
      <c r="C354" s="41"/>
      <c r="D354" s="41"/>
      <c r="E354" s="41">
        <f t="shared" si="1"/>
        <v>0</v>
      </c>
      <c r="F354" s="41"/>
      <c r="G354" s="41"/>
    </row>
    <row r="355">
      <c r="A355" s="41"/>
      <c r="B355" s="41"/>
      <c r="C355" s="41"/>
      <c r="D355" s="41"/>
      <c r="E355" s="41">
        <f t="shared" si="1"/>
        <v>0</v>
      </c>
      <c r="F355" s="41"/>
      <c r="G355" s="41"/>
    </row>
    <row r="356">
      <c r="A356" s="41"/>
      <c r="B356" s="41"/>
      <c r="C356" s="41"/>
      <c r="D356" s="41"/>
      <c r="E356" s="41">
        <f t="shared" si="1"/>
        <v>0</v>
      </c>
      <c r="F356" s="41"/>
      <c r="G356" s="41"/>
    </row>
    <row r="357">
      <c r="A357" s="41"/>
      <c r="B357" s="41"/>
      <c r="C357" s="41"/>
      <c r="D357" s="41"/>
      <c r="E357" s="41">
        <f t="shared" si="1"/>
        <v>0</v>
      </c>
      <c r="F357" s="41"/>
      <c r="G357" s="41"/>
    </row>
    <row r="358">
      <c r="A358" s="41"/>
      <c r="B358" s="41"/>
      <c r="C358" s="41"/>
      <c r="D358" s="41"/>
      <c r="E358" s="41">
        <f t="shared" si="1"/>
        <v>0</v>
      </c>
      <c r="F358" s="41"/>
      <c r="G358" s="41"/>
    </row>
    <row r="359">
      <c r="A359" s="41"/>
      <c r="B359" s="41"/>
      <c r="C359" s="41"/>
      <c r="D359" s="41"/>
      <c r="E359" s="41">
        <f t="shared" si="1"/>
        <v>0</v>
      </c>
      <c r="F359" s="41"/>
      <c r="G359" s="41"/>
    </row>
    <row r="360">
      <c r="A360" s="41"/>
      <c r="B360" s="41"/>
      <c r="C360" s="41"/>
      <c r="D360" s="41"/>
      <c r="E360" s="41">
        <f t="shared" si="1"/>
        <v>0</v>
      </c>
      <c r="F360" s="41"/>
      <c r="G360" s="41"/>
    </row>
    <row r="361">
      <c r="A361" s="41"/>
      <c r="B361" s="41"/>
      <c r="C361" s="41"/>
      <c r="D361" s="41"/>
      <c r="E361" s="41">
        <f t="shared" si="1"/>
        <v>0</v>
      </c>
      <c r="F361" s="41"/>
      <c r="G361" s="41"/>
    </row>
    <row r="362">
      <c r="A362" s="41"/>
      <c r="B362" s="41"/>
      <c r="C362" s="41"/>
      <c r="D362" s="41"/>
      <c r="E362" s="41">
        <f t="shared" si="1"/>
        <v>0</v>
      </c>
      <c r="F362" s="41"/>
      <c r="G362" s="41"/>
    </row>
    <row r="363">
      <c r="A363" s="41"/>
      <c r="B363" s="41"/>
      <c r="C363" s="41"/>
      <c r="D363" s="41"/>
      <c r="E363" s="41">
        <f t="shared" si="1"/>
        <v>0</v>
      </c>
      <c r="F363" s="41"/>
      <c r="G363" s="41"/>
    </row>
    <row r="364">
      <c r="A364" s="41"/>
      <c r="B364" s="41"/>
      <c r="C364" s="41"/>
      <c r="D364" s="41"/>
      <c r="E364" s="41">
        <f t="shared" si="1"/>
        <v>0</v>
      </c>
      <c r="F364" s="41"/>
      <c r="G364" s="41"/>
    </row>
    <row r="365">
      <c r="A365" s="41"/>
      <c r="B365" s="41"/>
      <c r="C365" s="41"/>
      <c r="D365" s="41"/>
      <c r="E365" s="41">
        <f t="shared" si="1"/>
        <v>0</v>
      </c>
      <c r="F365" s="41"/>
      <c r="G365" s="41"/>
    </row>
    <row r="366">
      <c r="A366" s="41"/>
      <c r="B366" s="41"/>
      <c r="C366" s="41"/>
      <c r="D366" s="41"/>
      <c r="E366" s="41">
        <f t="shared" si="1"/>
        <v>0</v>
      </c>
      <c r="F366" s="41"/>
      <c r="G366" s="41"/>
    </row>
    <row r="367">
      <c r="A367" s="41"/>
      <c r="B367" s="41"/>
      <c r="C367" s="41"/>
      <c r="D367" s="41"/>
      <c r="E367" s="41">
        <f t="shared" si="1"/>
        <v>0</v>
      </c>
      <c r="F367" s="41"/>
      <c r="G367" s="41"/>
    </row>
    <row r="368">
      <c r="A368" s="41"/>
      <c r="B368" s="41"/>
      <c r="C368" s="41"/>
      <c r="D368" s="41"/>
      <c r="E368" s="41">
        <f t="shared" si="1"/>
        <v>0</v>
      </c>
      <c r="F368" s="41"/>
      <c r="G368" s="41"/>
    </row>
    <row r="369">
      <c r="A369" s="41"/>
      <c r="B369" s="41"/>
      <c r="C369" s="41"/>
      <c r="D369" s="41"/>
      <c r="E369" s="41">
        <f t="shared" si="1"/>
        <v>0</v>
      </c>
      <c r="F369" s="41"/>
      <c r="G369" s="41"/>
    </row>
    <row r="370">
      <c r="A370" s="41"/>
      <c r="B370" s="41"/>
      <c r="C370" s="41"/>
      <c r="D370" s="41"/>
      <c r="E370" s="41">
        <f t="shared" si="1"/>
        <v>0</v>
      </c>
      <c r="F370" s="41"/>
      <c r="G370" s="41"/>
    </row>
    <row r="371">
      <c r="A371" s="41"/>
      <c r="B371" s="41"/>
      <c r="C371" s="41"/>
      <c r="D371" s="41"/>
      <c r="E371" s="41">
        <f t="shared" si="1"/>
        <v>0</v>
      </c>
      <c r="F371" s="41"/>
      <c r="G371" s="41"/>
    </row>
    <row r="372">
      <c r="A372" s="41"/>
      <c r="B372" s="41"/>
      <c r="C372" s="41"/>
      <c r="D372" s="41"/>
      <c r="E372" s="41">
        <f t="shared" si="1"/>
        <v>0</v>
      </c>
      <c r="F372" s="41"/>
      <c r="G372" s="41"/>
    </row>
    <row r="373">
      <c r="A373" s="41"/>
      <c r="B373" s="41"/>
      <c r="C373" s="41"/>
      <c r="D373" s="41"/>
      <c r="E373" s="41">
        <f t="shared" si="1"/>
        <v>0</v>
      </c>
      <c r="F373" s="41"/>
      <c r="G373" s="41"/>
    </row>
    <row r="374">
      <c r="A374" s="41"/>
      <c r="B374" s="41"/>
      <c r="C374" s="41"/>
      <c r="D374" s="41"/>
      <c r="E374" s="41">
        <f t="shared" si="1"/>
        <v>0</v>
      </c>
      <c r="F374" s="41"/>
      <c r="G374" s="41"/>
    </row>
    <row r="375">
      <c r="A375" s="41"/>
      <c r="B375" s="41"/>
      <c r="C375" s="41"/>
      <c r="D375" s="41"/>
      <c r="E375" s="41">
        <f t="shared" si="1"/>
        <v>0</v>
      </c>
      <c r="F375" s="41"/>
      <c r="G375" s="41"/>
    </row>
    <row r="376">
      <c r="A376" s="41"/>
      <c r="B376" s="41"/>
      <c r="C376" s="41"/>
      <c r="D376" s="41"/>
      <c r="E376" s="41">
        <f t="shared" si="1"/>
        <v>0</v>
      </c>
      <c r="F376" s="41"/>
      <c r="G376" s="41"/>
    </row>
    <row r="377">
      <c r="A377" s="41"/>
      <c r="B377" s="41"/>
      <c r="C377" s="41"/>
      <c r="D377" s="41"/>
      <c r="E377" s="41">
        <f t="shared" si="1"/>
        <v>0</v>
      </c>
      <c r="F377" s="41"/>
      <c r="G377" s="41"/>
    </row>
    <row r="378">
      <c r="A378" s="41"/>
      <c r="B378" s="41"/>
      <c r="C378" s="41"/>
      <c r="D378" s="41"/>
      <c r="E378" s="41">
        <f t="shared" si="1"/>
        <v>0</v>
      </c>
      <c r="F378" s="41"/>
      <c r="G378" s="41"/>
    </row>
    <row r="379">
      <c r="A379" s="41"/>
      <c r="B379" s="41"/>
      <c r="C379" s="41"/>
      <c r="D379" s="41"/>
      <c r="E379" s="41">
        <f t="shared" si="1"/>
        <v>0</v>
      </c>
      <c r="F379" s="41"/>
      <c r="G379" s="41"/>
    </row>
    <row r="380">
      <c r="A380" s="41"/>
      <c r="B380" s="41"/>
      <c r="C380" s="41"/>
      <c r="D380" s="41"/>
      <c r="E380" s="41">
        <f t="shared" si="1"/>
        <v>0</v>
      </c>
      <c r="F380" s="41"/>
      <c r="G380" s="41"/>
    </row>
    <row r="381">
      <c r="A381" s="41"/>
      <c r="B381" s="41"/>
      <c r="C381" s="41"/>
      <c r="D381" s="41"/>
      <c r="E381" s="41">
        <f t="shared" si="1"/>
        <v>0</v>
      </c>
      <c r="F381" s="41"/>
      <c r="G381" s="41"/>
    </row>
    <row r="382">
      <c r="A382" s="41"/>
      <c r="B382" s="41"/>
      <c r="C382" s="41"/>
      <c r="D382" s="41"/>
      <c r="E382" s="41">
        <f t="shared" si="1"/>
        <v>0</v>
      </c>
      <c r="F382" s="41"/>
      <c r="G382" s="41"/>
    </row>
    <row r="383">
      <c r="A383" s="41"/>
      <c r="B383" s="41"/>
      <c r="C383" s="41"/>
      <c r="D383" s="41"/>
      <c r="E383" s="41">
        <f t="shared" si="1"/>
        <v>0</v>
      </c>
      <c r="F383" s="41"/>
      <c r="G383" s="41"/>
    </row>
    <row r="384">
      <c r="A384" s="41"/>
      <c r="B384" s="41"/>
      <c r="C384" s="41"/>
      <c r="D384" s="41"/>
      <c r="E384" s="41">
        <f t="shared" si="1"/>
        <v>0</v>
      </c>
      <c r="F384" s="41"/>
      <c r="G384" s="41"/>
    </row>
    <row r="385">
      <c r="A385" s="41"/>
      <c r="B385" s="41"/>
      <c r="C385" s="41"/>
      <c r="D385" s="41"/>
      <c r="E385" s="41">
        <f t="shared" si="1"/>
        <v>0</v>
      </c>
      <c r="F385" s="41"/>
      <c r="G385" s="41"/>
    </row>
    <row r="386">
      <c r="A386" s="41"/>
      <c r="B386" s="41"/>
      <c r="C386" s="41"/>
      <c r="D386" s="41"/>
      <c r="E386" s="41">
        <f t="shared" si="1"/>
        <v>0</v>
      </c>
      <c r="F386" s="41"/>
      <c r="G386" s="41"/>
    </row>
    <row r="387">
      <c r="A387" s="41"/>
      <c r="B387" s="41"/>
      <c r="C387" s="41"/>
      <c r="D387" s="41"/>
      <c r="E387" s="41">
        <f t="shared" si="1"/>
        <v>0</v>
      </c>
      <c r="F387" s="41"/>
      <c r="G387" s="41"/>
    </row>
    <row r="388">
      <c r="A388" s="41"/>
      <c r="B388" s="41"/>
      <c r="C388" s="41"/>
      <c r="D388" s="41"/>
      <c r="E388" s="41">
        <f t="shared" si="1"/>
        <v>0</v>
      </c>
      <c r="F388" s="41"/>
      <c r="G388" s="41"/>
    </row>
    <row r="389">
      <c r="A389" s="41"/>
      <c r="B389" s="41"/>
      <c r="C389" s="41"/>
      <c r="D389" s="41"/>
      <c r="E389" s="41">
        <f t="shared" si="1"/>
        <v>0</v>
      </c>
      <c r="F389" s="41"/>
      <c r="G389" s="41"/>
    </row>
    <row r="390">
      <c r="A390" s="41"/>
      <c r="B390" s="41"/>
      <c r="C390" s="41"/>
      <c r="D390" s="41"/>
      <c r="E390" s="41">
        <f t="shared" si="1"/>
        <v>0</v>
      </c>
      <c r="F390" s="41"/>
      <c r="G390" s="41"/>
    </row>
    <row r="391">
      <c r="A391" s="41"/>
      <c r="B391" s="41"/>
      <c r="C391" s="41"/>
      <c r="D391" s="41"/>
      <c r="E391" s="41">
        <f t="shared" si="1"/>
        <v>0</v>
      </c>
      <c r="F391" s="41"/>
      <c r="G391" s="41"/>
    </row>
    <row r="392">
      <c r="A392" s="41"/>
      <c r="B392" s="41"/>
      <c r="C392" s="41"/>
      <c r="D392" s="41"/>
      <c r="E392" s="41">
        <f t="shared" si="1"/>
        <v>0</v>
      </c>
      <c r="F392" s="41"/>
      <c r="G392" s="41"/>
    </row>
    <row r="393">
      <c r="A393" s="41"/>
      <c r="B393" s="41"/>
      <c r="C393" s="41"/>
      <c r="D393" s="41"/>
      <c r="E393" s="41">
        <f t="shared" si="1"/>
        <v>0</v>
      </c>
      <c r="F393" s="41"/>
      <c r="G393" s="41"/>
    </row>
    <row r="394">
      <c r="A394" s="41"/>
      <c r="B394" s="41"/>
      <c r="C394" s="41"/>
      <c r="D394" s="41"/>
      <c r="E394" s="41">
        <f t="shared" si="1"/>
        <v>0</v>
      </c>
      <c r="F394" s="41"/>
      <c r="G394" s="41"/>
    </row>
    <row r="395">
      <c r="A395" s="41"/>
      <c r="B395" s="41"/>
      <c r="C395" s="41"/>
      <c r="D395" s="41"/>
      <c r="E395" s="41">
        <f t="shared" si="1"/>
        <v>0</v>
      </c>
      <c r="F395" s="41"/>
      <c r="G395" s="41"/>
    </row>
    <row r="396">
      <c r="A396" s="41"/>
      <c r="B396" s="41"/>
      <c r="C396" s="41"/>
      <c r="D396" s="41"/>
      <c r="E396" s="41">
        <f t="shared" si="1"/>
        <v>0</v>
      </c>
      <c r="F396" s="41"/>
      <c r="G396" s="41"/>
    </row>
    <row r="397">
      <c r="A397" s="41"/>
      <c r="B397" s="41"/>
      <c r="C397" s="41"/>
      <c r="D397" s="41"/>
      <c r="E397" s="41">
        <f t="shared" si="1"/>
        <v>0</v>
      </c>
      <c r="F397" s="41"/>
      <c r="G397" s="41"/>
    </row>
    <row r="398">
      <c r="A398" s="41"/>
      <c r="B398" s="41"/>
      <c r="C398" s="41"/>
      <c r="D398" s="41"/>
      <c r="E398" s="41">
        <f t="shared" si="1"/>
        <v>0</v>
      </c>
      <c r="F398" s="41"/>
      <c r="G398" s="41"/>
    </row>
    <row r="399">
      <c r="A399" s="41"/>
      <c r="B399" s="41"/>
      <c r="C399" s="41"/>
      <c r="D399" s="41"/>
      <c r="E399" s="41">
        <f t="shared" si="1"/>
        <v>0</v>
      </c>
      <c r="F399" s="41"/>
      <c r="G399" s="41"/>
    </row>
    <row r="400">
      <c r="A400" s="41"/>
      <c r="B400" s="41"/>
      <c r="C400" s="41"/>
      <c r="D400" s="41"/>
      <c r="E400" s="41">
        <f t="shared" si="1"/>
        <v>0</v>
      </c>
      <c r="F400" s="41"/>
      <c r="G400" s="41"/>
    </row>
    <row r="401">
      <c r="A401" s="41"/>
      <c r="B401" s="41"/>
      <c r="C401" s="41"/>
      <c r="D401" s="41"/>
      <c r="E401" s="41">
        <f t="shared" si="1"/>
        <v>0</v>
      </c>
      <c r="F401" s="41"/>
      <c r="G401" s="41"/>
    </row>
    <row r="402">
      <c r="A402" s="41"/>
      <c r="B402" s="41"/>
      <c r="C402" s="41"/>
      <c r="D402" s="41"/>
      <c r="E402" s="41">
        <f t="shared" si="1"/>
        <v>0</v>
      </c>
      <c r="F402" s="41"/>
      <c r="G402" s="41"/>
    </row>
    <row r="403">
      <c r="A403" s="41"/>
      <c r="B403" s="41"/>
      <c r="C403" s="41"/>
      <c r="D403" s="41"/>
      <c r="E403" s="41">
        <f t="shared" si="1"/>
        <v>0</v>
      </c>
      <c r="F403" s="41"/>
      <c r="G403" s="41"/>
    </row>
    <row r="404">
      <c r="A404" s="41"/>
      <c r="B404" s="41"/>
      <c r="C404" s="41"/>
      <c r="D404" s="41"/>
      <c r="E404" s="41">
        <f t="shared" si="1"/>
        <v>0</v>
      </c>
      <c r="F404" s="41"/>
      <c r="G404" s="41"/>
    </row>
    <row r="405">
      <c r="A405" s="41"/>
      <c r="B405" s="41"/>
      <c r="C405" s="41"/>
      <c r="D405" s="41"/>
      <c r="E405" s="41">
        <f t="shared" si="1"/>
        <v>0</v>
      </c>
      <c r="F405" s="41"/>
      <c r="G405" s="41"/>
    </row>
    <row r="406">
      <c r="A406" s="41"/>
      <c r="B406" s="41"/>
      <c r="C406" s="41"/>
      <c r="D406" s="41"/>
      <c r="E406" s="41">
        <f t="shared" si="1"/>
        <v>0</v>
      </c>
      <c r="F406" s="41"/>
      <c r="G406" s="41"/>
    </row>
    <row r="407">
      <c r="A407" s="41"/>
      <c r="B407" s="41"/>
      <c r="C407" s="41"/>
      <c r="D407" s="41"/>
      <c r="E407" s="41">
        <f t="shared" si="1"/>
        <v>0</v>
      </c>
      <c r="F407" s="41"/>
      <c r="G407" s="41"/>
    </row>
    <row r="408">
      <c r="A408" s="41"/>
      <c r="B408" s="41"/>
      <c r="C408" s="41"/>
      <c r="D408" s="41"/>
      <c r="E408" s="41">
        <f t="shared" si="1"/>
        <v>0</v>
      </c>
      <c r="F408" s="41"/>
      <c r="G408" s="41"/>
    </row>
    <row r="409">
      <c r="A409" s="41"/>
      <c r="B409" s="41"/>
      <c r="C409" s="41"/>
      <c r="D409" s="41"/>
      <c r="E409" s="41">
        <f t="shared" si="1"/>
        <v>0</v>
      </c>
      <c r="F409" s="41"/>
      <c r="G409" s="41"/>
    </row>
    <row r="410">
      <c r="A410" s="41"/>
      <c r="B410" s="41"/>
      <c r="C410" s="41"/>
      <c r="D410" s="41"/>
      <c r="E410" s="41">
        <f t="shared" si="1"/>
        <v>0</v>
      </c>
      <c r="F410" s="41"/>
      <c r="G410" s="41"/>
    </row>
    <row r="411">
      <c r="A411" s="41"/>
      <c r="B411" s="41"/>
      <c r="C411" s="41"/>
      <c r="D411" s="41"/>
      <c r="E411" s="41">
        <f t="shared" si="1"/>
        <v>0</v>
      </c>
      <c r="F411" s="41"/>
      <c r="G411" s="41"/>
    </row>
    <row r="412">
      <c r="A412" s="41"/>
      <c r="B412" s="41"/>
      <c r="C412" s="41"/>
      <c r="D412" s="41"/>
      <c r="E412" s="41">
        <f t="shared" si="1"/>
        <v>0</v>
      </c>
      <c r="F412" s="41"/>
      <c r="G412" s="41"/>
    </row>
    <row r="413">
      <c r="A413" s="41"/>
      <c r="B413" s="41"/>
      <c r="C413" s="41"/>
      <c r="D413" s="41"/>
      <c r="E413" s="41">
        <f t="shared" si="1"/>
        <v>0</v>
      </c>
      <c r="F413" s="41"/>
      <c r="G413" s="41"/>
    </row>
    <row r="414">
      <c r="A414" s="41"/>
      <c r="B414" s="41"/>
      <c r="C414" s="41"/>
      <c r="D414" s="41"/>
      <c r="E414" s="41">
        <f t="shared" si="1"/>
        <v>0</v>
      </c>
      <c r="F414" s="41"/>
      <c r="G414" s="41"/>
    </row>
    <row r="415">
      <c r="A415" s="41"/>
      <c r="B415" s="41"/>
      <c r="C415" s="41"/>
      <c r="D415" s="41"/>
      <c r="E415" s="41">
        <f t="shared" si="1"/>
        <v>0</v>
      </c>
      <c r="F415" s="41"/>
      <c r="G415" s="41"/>
    </row>
    <row r="416">
      <c r="A416" s="41"/>
      <c r="B416" s="41"/>
      <c r="C416" s="41"/>
      <c r="D416" s="41"/>
      <c r="E416" s="41">
        <f t="shared" si="1"/>
        <v>0</v>
      </c>
      <c r="F416" s="41"/>
      <c r="G416" s="41"/>
    </row>
    <row r="417">
      <c r="A417" s="41"/>
      <c r="B417" s="41"/>
      <c r="C417" s="41"/>
      <c r="D417" s="41"/>
      <c r="E417" s="41">
        <f t="shared" si="1"/>
        <v>0</v>
      </c>
      <c r="F417" s="41"/>
      <c r="G417" s="41"/>
    </row>
    <row r="418">
      <c r="A418" s="41"/>
      <c r="B418" s="41"/>
      <c r="C418" s="41"/>
      <c r="D418" s="41"/>
      <c r="E418" s="41">
        <f t="shared" si="1"/>
        <v>0</v>
      </c>
      <c r="F418" s="41"/>
      <c r="G418" s="41"/>
    </row>
    <row r="419">
      <c r="A419" s="41"/>
      <c r="B419" s="41"/>
      <c r="C419" s="41"/>
      <c r="D419" s="41"/>
      <c r="E419" s="41">
        <f t="shared" si="1"/>
        <v>0</v>
      </c>
      <c r="F419" s="41"/>
      <c r="G419" s="41"/>
    </row>
    <row r="420">
      <c r="A420" s="41"/>
      <c r="B420" s="41"/>
      <c r="C420" s="41"/>
      <c r="D420" s="41"/>
      <c r="E420" s="41">
        <f t="shared" si="1"/>
        <v>0</v>
      </c>
      <c r="F420" s="41"/>
      <c r="G420" s="41"/>
    </row>
    <row r="421">
      <c r="A421" s="41"/>
      <c r="B421" s="41"/>
      <c r="C421" s="41"/>
      <c r="D421" s="41"/>
      <c r="E421" s="41">
        <f t="shared" si="1"/>
        <v>0</v>
      </c>
      <c r="F421" s="41"/>
      <c r="G421" s="41"/>
    </row>
    <row r="422">
      <c r="A422" s="41"/>
      <c r="B422" s="41"/>
      <c r="C422" s="41"/>
      <c r="D422" s="41"/>
      <c r="E422" s="41">
        <f t="shared" si="1"/>
        <v>0</v>
      </c>
      <c r="F422" s="41"/>
      <c r="G422" s="41"/>
    </row>
    <row r="423">
      <c r="A423" s="41"/>
      <c r="B423" s="41"/>
      <c r="C423" s="41"/>
      <c r="D423" s="41"/>
      <c r="E423" s="41">
        <f t="shared" si="1"/>
        <v>0</v>
      </c>
      <c r="F423" s="41"/>
      <c r="G423" s="41"/>
    </row>
    <row r="424">
      <c r="A424" s="41"/>
      <c r="B424" s="41"/>
      <c r="C424" s="41"/>
      <c r="D424" s="41"/>
      <c r="E424" s="41">
        <f t="shared" si="1"/>
        <v>0</v>
      </c>
      <c r="F424" s="41"/>
      <c r="G424" s="41"/>
    </row>
    <row r="425">
      <c r="A425" s="41"/>
      <c r="B425" s="41"/>
      <c r="C425" s="41"/>
      <c r="D425" s="41"/>
      <c r="E425" s="41">
        <f t="shared" si="1"/>
        <v>0</v>
      </c>
      <c r="F425" s="41"/>
      <c r="G425" s="41"/>
    </row>
    <row r="426">
      <c r="A426" s="41"/>
      <c r="B426" s="41"/>
      <c r="C426" s="41"/>
      <c r="D426" s="41"/>
      <c r="E426" s="41">
        <f t="shared" si="1"/>
        <v>0</v>
      </c>
      <c r="F426" s="41"/>
      <c r="G426" s="41"/>
    </row>
    <row r="427">
      <c r="A427" s="41"/>
      <c r="B427" s="41"/>
      <c r="C427" s="41"/>
      <c r="D427" s="41"/>
      <c r="E427" s="41">
        <f t="shared" si="1"/>
        <v>0</v>
      </c>
      <c r="F427" s="41"/>
      <c r="G427" s="41"/>
    </row>
    <row r="428">
      <c r="A428" s="41"/>
      <c r="B428" s="41"/>
      <c r="C428" s="41"/>
      <c r="D428" s="41"/>
      <c r="E428" s="41">
        <f t="shared" si="1"/>
        <v>0</v>
      </c>
      <c r="F428" s="41"/>
      <c r="G428" s="41"/>
    </row>
    <row r="429">
      <c r="A429" s="41"/>
      <c r="B429" s="41"/>
      <c r="C429" s="41"/>
      <c r="D429" s="41"/>
      <c r="E429" s="41">
        <f t="shared" si="1"/>
        <v>0</v>
      </c>
      <c r="F429" s="41"/>
      <c r="G429" s="41"/>
    </row>
    <row r="430">
      <c r="A430" s="41"/>
      <c r="B430" s="41"/>
      <c r="C430" s="41"/>
      <c r="D430" s="41"/>
      <c r="E430" s="41">
        <f t="shared" si="1"/>
        <v>0</v>
      </c>
      <c r="F430" s="41"/>
      <c r="G430" s="41"/>
    </row>
    <row r="431">
      <c r="A431" s="41"/>
      <c r="B431" s="41"/>
      <c r="C431" s="41"/>
      <c r="D431" s="41"/>
      <c r="E431" s="41">
        <f t="shared" si="1"/>
        <v>0</v>
      </c>
      <c r="F431" s="41"/>
      <c r="G431" s="41"/>
    </row>
    <row r="432">
      <c r="A432" s="41"/>
      <c r="B432" s="41"/>
      <c r="C432" s="41"/>
      <c r="D432" s="41"/>
      <c r="E432" s="41">
        <f t="shared" si="1"/>
        <v>0</v>
      </c>
      <c r="F432" s="41"/>
      <c r="G432" s="41"/>
    </row>
    <row r="433">
      <c r="A433" s="41"/>
      <c r="B433" s="41"/>
      <c r="C433" s="41"/>
      <c r="D433" s="41"/>
      <c r="E433" s="41">
        <f t="shared" si="1"/>
        <v>0</v>
      </c>
      <c r="F433" s="41"/>
      <c r="G433" s="41"/>
    </row>
    <row r="434">
      <c r="A434" s="41"/>
      <c r="B434" s="41"/>
      <c r="C434" s="41"/>
      <c r="D434" s="41"/>
      <c r="E434" s="41">
        <f t="shared" si="1"/>
        <v>0</v>
      </c>
      <c r="F434" s="41"/>
      <c r="G434" s="41"/>
    </row>
    <row r="435">
      <c r="A435" s="41"/>
      <c r="B435" s="41"/>
      <c r="C435" s="41"/>
      <c r="D435" s="41"/>
      <c r="E435" s="41">
        <f t="shared" si="1"/>
        <v>0</v>
      </c>
      <c r="F435" s="41"/>
      <c r="G435" s="41"/>
    </row>
    <row r="436">
      <c r="A436" s="41"/>
      <c r="B436" s="41"/>
      <c r="C436" s="41"/>
      <c r="D436" s="41"/>
      <c r="E436" s="41">
        <f t="shared" si="1"/>
        <v>0</v>
      </c>
      <c r="F436" s="41"/>
      <c r="G436" s="41"/>
    </row>
    <row r="437">
      <c r="A437" s="41"/>
      <c r="B437" s="41"/>
      <c r="C437" s="41"/>
      <c r="D437" s="41"/>
      <c r="E437" s="41">
        <f t="shared" si="1"/>
        <v>0</v>
      </c>
      <c r="F437" s="41"/>
      <c r="G437" s="41"/>
    </row>
    <row r="438">
      <c r="A438" s="41"/>
      <c r="B438" s="41"/>
      <c r="C438" s="41"/>
      <c r="D438" s="41"/>
      <c r="E438" s="41">
        <f t="shared" si="1"/>
        <v>0</v>
      </c>
      <c r="F438" s="41"/>
      <c r="G438" s="41"/>
    </row>
    <row r="439">
      <c r="A439" s="41"/>
      <c r="B439" s="41"/>
      <c r="C439" s="41"/>
      <c r="D439" s="41"/>
      <c r="E439" s="41">
        <f t="shared" si="1"/>
        <v>0</v>
      </c>
      <c r="F439" s="41"/>
      <c r="G439" s="41"/>
    </row>
    <row r="440">
      <c r="A440" s="41"/>
      <c r="B440" s="41"/>
      <c r="C440" s="41"/>
      <c r="D440" s="41"/>
      <c r="E440" s="41">
        <f t="shared" si="1"/>
        <v>0</v>
      </c>
      <c r="F440" s="41"/>
      <c r="G440" s="41"/>
    </row>
    <row r="441">
      <c r="A441" s="41"/>
      <c r="B441" s="41"/>
      <c r="C441" s="41"/>
      <c r="D441" s="41"/>
      <c r="E441" s="41">
        <f t="shared" si="1"/>
        <v>0</v>
      </c>
      <c r="F441" s="41"/>
      <c r="G441" s="41"/>
    </row>
    <row r="442">
      <c r="A442" s="41"/>
      <c r="B442" s="41"/>
      <c r="C442" s="41"/>
      <c r="D442" s="41"/>
      <c r="E442" s="41">
        <f t="shared" si="1"/>
        <v>0</v>
      </c>
      <c r="F442" s="41"/>
      <c r="G442" s="41"/>
    </row>
    <row r="443">
      <c r="A443" s="41"/>
      <c r="B443" s="41"/>
      <c r="C443" s="41"/>
      <c r="D443" s="41"/>
      <c r="E443" s="41">
        <f t="shared" si="1"/>
        <v>0</v>
      </c>
      <c r="F443" s="41"/>
      <c r="G443" s="41"/>
    </row>
    <row r="444">
      <c r="A444" s="41"/>
      <c r="B444" s="41"/>
      <c r="C444" s="41"/>
      <c r="D444" s="41"/>
      <c r="E444" s="41">
        <f t="shared" si="1"/>
        <v>0</v>
      </c>
      <c r="F444" s="41"/>
      <c r="G444" s="41"/>
    </row>
    <row r="445">
      <c r="A445" s="41"/>
      <c r="B445" s="41"/>
      <c r="C445" s="41"/>
      <c r="D445" s="41"/>
      <c r="E445" s="41">
        <f t="shared" si="1"/>
        <v>0</v>
      </c>
      <c r="F445" s="41"/>
      <c r="G445" s="41"/>
    </row>
    <row r="446">
      <c r="A446" s="41"/>
      <c r="B446" s="41"/>
      <c r="C446" s="41"/>
      <c r="D446" s="41"/>
      <c r="E446" s="41">
        <f t="shared" si="1"/>
        <v>0</v>
      </c>
      <c r="F446" s="41"/>
      <c r="G446" s="41"/>
    </row>
    <row r="447">
      <c r="A447" s="41"/>
      <c r="B447" s="41"/>
      <c r="C447" s="41"/>
      <c r="D447" s="41"/>
      <c r="E447" s="41">
        <f t="shared" si="1"/>
        <v>0</v>
      </c>
      <c r="F447" s="41"/>
      <c r="G447" s="41"/>
    </row>
    <row r="448">
      <c r="A448" s="41"/>
      <c r="B448" s="41"/>
      <c r="C448" s="41"/>
      <c r="D448" s="41"/>
      <c r="E448" s="41">
        <f t="shared" si="1"/>
        <v>0</v>
      </c>
      <c r="F448" s="41"/>
      <c r="G448" s="41"/>
    </row>
    <row r="449">
      <c r="A449" s="41"/>
      <c r="B449" s="41"/>
      <c r="C449" s="41"/>
      <c r="D449" s="41"/>
      <c r="E449" s="41">
        <f t="shared" si="1"/>
        <v>0</v>
      </c>
      <c r="F449" s="41"/>
      <c r="G449" s="41"/>
    </row>
    <row r="450">
      <c r="A450" s="41"/>
      <c r="B450" s="41"/>
      <c r="C450" s="41"/>
      <c r="D450" s="41"/>
      <c r="E450" s="41">
        <f t="shared" si="1"/>
        <v>0</v>
      </c>
      <c r="F450" s="41"/>
      <c r="G450" s="41"/>
    </row>
    <row r="451">
      <c r="A451" s="41"/>
      <c r="B451" s="41"/>
      <c r="C451" s="41"/>
      <c r="D451" s="41"/>
      <c r="E451" s="41">
        <f t="shared" si="1"/>
        <v>0</v>
      </c>
      <c r="F451" s="41"/>
      <c r="G451" s="41"/>
    </row>
    <row r="452">
      <c r="A452" s="41"/>
      <c r="B452" s="41"/>
      <c r="C452" s="41"/>
      <c r="D452" s="41"/>
      <c r="E452" s="41">
        <f t="shared" si="1"/>
        <v>0</v>
      </c>
      <c r="F452" s="41"/>
      <c r="G452" s="41"/>
    </row>
    <row r="453">
      <c r="A453" s="41"/>
      <c r="B453" s="41"/>
      <c r="C453" s="41"/>
      <c r="D453" s="41"/>
      <c r="E453" s="41">
        <f t="shared" si="1"/>
        <v>0</v>
      </c>
      <c r="F453" s="41"/>
      <c r="G453" s="41"/>
    </row>
    <row r="454">
      <c r="A454" s="41"/>
      <c r="B454" s="41"/>
      <c r="C454" s="41"/>
      <c r="D454" s="41"/>
      <c r="E454" s="41">
        <f t="shared" si="1"/>
        <v>0</v>
      </c>
      <c r="F454" s="41"/>
      <c r="G454" s="41"/>
    </row>
    <row r="455">
      <c r="A455" s="41"/>
      <c r="B455" s="41"/>
      <c r="C455" s="41"/>
      <c r="D455" s="41"/>
      <c r="E455" s="41">
        <f t="shared" si="1"/>
        <v>0</v>
      </c>
      <c r="F455" s="41"/>
      <c r="G455" s="41"/>
    </row>
    <row r="456">
      <c r="A456" s="41"/>
      <c r="B456" s="41"/>
      <c r="C456" s="41"/>
      <c r="D456" s="41"/>
      <c r="E456" s="41">
        <f t="shared" si="1"/>
        <v>0</v>
      </c>
      <c r="F456" s="41"/>
      <c r="G456" s="41"/>
    </row>
    <row r="457">
      <c r="A457" s="41"/>
      <c r="B457" s="41"/>
      <c r="C457" s="41"/>
      <c r="D457" s="41"/>
      <c r="E457" s="41">
        <f t="shared" si="1"/>
        <v>0</v>
      </c>
      <c r="F457" s="41"/>
      <c r="G457" s="41"/>
    </row>
    <row r="458">
      <c r="A458" s="41"/>
      <c r="B458" s="41"/>
      <c r="C458" s="41"/>
      <c r="D458" s="41"/>
      <c r="E458" s="41">
        <f t="shared" si="1"/>
        <v>0</v>
      </c>
      <c r="F458" s="41"/>
      <c r="G458" s="41"/>
    </row>
    <row r="459">
      <c r="A459" s="41"/>
      <c r="B459" s="41"/>
      <c r="C459" s="41"/>
      <c r="D459" s="41"/>
      <c r="E459" s="41">
        <f t="shared" si="1"/>
        <v>0</v>
      </c>
      <c r="F459" s="41"/>
      <c r="G459" s="41"/>
    </row>
    <row r="460">
      <c r="A460" s="41"/>
      <c r="B460" s="41"/>
      <c r="C460" s="41"/>
      <c r="D460" s="41"/>
      <c r="E460" s="41">
        <f t="shared" si="1"/>
        <v>0</v>
      </c>
      <c r="F460" s="41"/>
      <c r="G460" s="41"/>
    </row>
    <row r="461">
      <c r="A461" s="41"/>
      <c r="B461" s="41"/>
      <c r="C461" s="41"/>
      <c r="D461" s="41"/>
      <c r="E461" s="41">
        <f t="shared" si="1"/>
        <v>0</v>
      </c>
      <c r="F461" s="41"/>
      <c r="G461" s="41"/>
    </row>
    <row r="462">
      <c r="A462" s="41"/>
      <c r="B462" s="41"/>
      <c r="C462" s="41"/>
      <c r="D462" s="41"/>
      <c r="E462" s="41">
        <f t="shared" si="1"/>
        <v>0</v>
      </c>
      <c r="F462" s="41"/>
      <c r="G462" s="41"/>
    </row>
    <row r="463">
      <c r="A463" s="41"/>
      <c r="B463" s="41"/>
      <c r="C463" s="41"/>
      <c r="D463" s="41"/>
      <c r="E463" s="41">
        <f t="shared" si="1"/>
        <v>0</v>
      </c>
      <c r="F463" s="41"/>
      <c r="G463" s="41"/>
    </row>
    <row r="464">
      <c r="A464" s="41"/>
      <c r="B464" s="41"/>
      <c r="C464" s="41"/>
      <c r="D464" s="41"/>
      <c r="E464" s="41">
        <f t="shared" si="1"/>
        <v>0</v>
      </c>
      <c r="F464" s="41"/>
      <c r="G464" s="41"/>
    </row>
    <row r="465">
      <c r="A465" s="41"/>
      <c r="B465" s="41"/>
      <c r="C465" s="41"/>
      <c r="D465" s="41"/>
      <c r="E465" s="41">
        <f t="shared" si="1"/>
        <v>0</v>
      </c>
      <c r="F465" s="41"/>
      <c r="G465" s="41"/>
    </row>
    <row r="466">
      <c r="A466" s="41"/>
      <c r="B466" s="41"/>
      <c r="C466" s="41"/>
      <c r="D466" s="41"/>
      <c r="E466" s="41">
        <f t="shared" si="1"/>
        <v>0</v>
      </c>
      <c r="F466" s="41"/>
      <c r="G466" s="41"/>
    </row>
    <row r="467">
      <c r="A467" s="41"/>
      <c r="B467" s="41"/>
      <c r="C467" s="41"/>
      <c r="D467" s="41"/>
      <c r="E467" s="41">
        <f t="shared" si="1"/>
        <v>0</v>
      </c>
      <c r="F467" s="41"/>
      <c r="G467" s="41"/>
    </row>
    <row r="468">
      <c r="A468" s="41"/>
      <c r="B468" s="41"/>
      <c r="C468" s="41"/>
      <c r="D468" s="41"/>
      <c r="E468" s="41">
        <f t="shared" si="1"/>
        <v>0</v>
      </c>
      <c r="F468" s="41"/>
      <c r="G468" s="41"/>
    </row>
    <row r="469">
      <c r="A469" s="41"/>
      <c r="B469" s="41"/>
      <c r="C469" s="41"/>
      <c r="D469" s="41"/>
      <c r="E469" s="41">
        <f t="shared" si="1"/>
        <v>0</v>
      </c>
      <c r="F469" s="41"/>
      <c r="G469" s="41"/>
    </row>
    <row r="470">
      <c r="A470" s="41"/>
      <c r="B470" s="41"/>
      <c r="C470" s="41"/>
      <c r="D470" s="41"/>
      <c r="E470" s="41">
        <f t="shared" si="1"/>
        <v>0</v>
      </c>
      <c r="F470" s="41"/>
      <c r="G470" s="41"/>
    </row>
    <row r="471">
      <c r="A471" s="41"/>
      <c r="B471" s="41"/>
      <c r="C471" s="41"/>
      <c r="D471" s="41"/>
      <c r="E471" s="41">
        <f t="shared" si="1"/>
        <v>0</v>
      </c>
      <c r="F471" s="41"/>
      <c r="G471" s="41"/>
    </row>
    <row r="472">
      <c r="A472" s="41"/>
      <c r="B472" s="41"/>
      <c r="C472" s="41"/>
      <c r="D472" s="41"/>
      <c r="E472" s="41">
        <f t="shared" si="1"/>
        <v>0</v>
      </c>
      <c r="F472" s="41"/>
      <c r="G472" s="41"/>
    </row>
    <row r="473">
      <c r="A473" s="41"/>
      <c r="B473" s="41"/>
      <c r="C473" s="41"/>
      <c r="D473" s="41"/>
      <c r="E473" s="41">
        <f t="shared" si="1"/>
        <v>0</v>
      </c>
      <c r="F473" s="41"/>
      <c r="G473" s="41"/>
    </row>
    <row r="474">
      <c r="A474" s="41"/>
      <c r="B474" s="41"/>
      <c r="C474" s="41"/>
      <c r="D474" s="41"/>
      <c r="E474" s="41">
        <f t="shared" si="1"/>
        <v>0</v>
      </c>
      <c r="F474" s="41"/>
      <c r="G474" s="41"/>
    </row>
    <row r="475">
      <c r="A475" s="41"/>
      <c r="B475" s="41"/>
      <c r="C475" s="41"/>
      <c r="D475" s="41"/>
      <c r="E475" s="41">
        <f t="shared" si="1"/>
        <v>0</v>
      </c>
      <c r="F475" s="41"/>
      <c r="G475" s="41"/>
    </row>
    <row r="476">
      <c r="A476" s="41"/>
      <c r="B476" s="41"/>
      <c r="C476" s="41"/>
      <c r="D476" s="41"/>
      <c r="E476" s="41">
        <f t="shared" si="1"/>
        <v>0</v>
      </c>
      <c r="F476" s="41"/>
      <c r="G476" s="41"/>
    </row>
    <row r="477">
      <c r="A477" s="41"/>
      <c r="B477" s="41"/>
      <c r="C477" s="41"/>
      <c r="D477" s="41"/>
      <c r="E477" s="41">
        <f t="shared" si="1"/>
        <v>0</v>
      </c>
      <c r="F477" s="41"/>
      <c r="G477" s="41"/>
    </row>
    <row r="478">
      <c r="A478" s="41"/>
      <c r="B478" s="41"/>
      <c r="C478" s="41"/>
      <c r="D478" s="41"/>
      <c r="E478" s="41">
        <f t="shared" si="1"/>
        <v>0</v>
      </c>
      <c r="F478" s="41"/>
      <c r="G478" s="41"/>
    </row>
    <row r="479">
      <c r="A479" s="41"/>
      <c r="B479" s="41"/>
      <c r="C479" s="41"/>
      <c r="D479" s="41"/>
      <c r="E479" s="41">
        <f t="shared" si="1"/>
        <v>0</v>
      </c>
      <c r="F479" s="41"/>
      <c r="G479" s="41"/>
    </row>
    <row r="480">
      <c r="A480" s="41"/>
      <c r="B480" s="41"/>
      <c r="C480" s="41"/>
      <c r="D480" s="41"/>
      <c r="E480" s="41">
        <f t="shared" si="1"/>
        <v>0</v>
      </c>
      <c r="F480" s="41"/>
      <c r="G480" s="41"/>
    </row>
    <row r="481">
      <c r="A481" s="41"/>
      <c r="B481" s="41"/>
      <c r="C481" s="41"/>
      <c r="D481" s="41"/>
      <c r="E481" s="41">
        <f t="shared" si="1"/>
        <v>0</v>
      </c>
      <c r="F481" s="41"/>
      <c r="G481" s="41"/>
    </row>
    <row r="482">
      <c r="A482" s="41"/>
      <c r="B482" s="41"/>
      <c r="C482" s="41"/>
      <c r="D482" s="41"/>
      <c r="E482" s="41">
        <f t="shared" si="1"/>
        <v>0</v>
      </c>
      <c r="F482" s="41"/>
      <c r="G482" s="41"/>
    </row>
    <row r="483">
      <c r="A483" s="41"/>
      <c r="B483" s="41"/>
      <c r="C483" s="41"/>
      <c r="D483" s="41"/>
      <c r="E483" s="41">
        <f t="shared" si="1"/>
        <v>0</v>
      </c>
      <c r="F483" s="41"/>
      <c r="G483" s="41"/>
    </row>
    <row r="484">
      <c r="A484" s="41"/>
      <c r="B484" s="41"/>
      <c r="C484" s="41"/>
      <c r="D484" s="41"/>
      <c r="E484" s="41">
        <f t="shared" si="1"/>
        <v>0</v>
      </c>
      <c r="F484" s="41"/>
      <c r="G484" s="41"/>
    </row>
    <row r="485">
      <c r="A485" s="41"/>
      <c r="B485" s="41"/>
      <c r="C485" s="41"/>
      <c r="D485" s="41"/>
      <c r="E485" s="41">
        <f t="shared" si="1"/>
        <v>0</v>
      </c>
      <c r="F485" s="41"/>
      <c r="G485" s="41"/>
    </row>
    <row r="486">
      <c r="A486" s="41"/>
      <c r="B486" s="41"/>
      <c r="C486" s="41"/>
      <c r="D486" s="41"/>
      <c r="E486" s="41">
        <f t="shared" si="1"/>
        <v>0</v>
      </c>
      <c r="F486" s="41"/>
      <c r="G486" s="41"/>
    </row>
    <row r="487">
      <c r="A487" s="41"/>
      <c r="B487" s="41"/>
      <c r="C487" s="41"/>
      <c r="D487" s="41"/>
      <c r="E487" s="41">
        <f t="shared" si="1"/>
        <v>0</v>
      </c>
      <c r="F487" s="41"/>
      <c r="G487" s="41"/>
    </row>
    <row r="488">
      <c r="A488" s="41"/>
      <c r="B488" s="41"/>
      <c r="C488" s="41"/>
      <c r="D488" s="41"/>
      <c r="E488" s="41">
        <f t="shared" si="1"/>
        <v>0</v>
      </c>
      <c r="F488" s="41"/>
      <c r="G488" s="41"/>
    </row>
    <row r="489">
      <c r="A489" s="41"/>
      <c r="B489" s="41"/>
      <c r="C489" s="41"/>
      <c r="D489" s="41"/>
      <c r="E489" s="41">
        <f t="shared" si="1"/>
        <v>0</v>
      </c>
      <c r="F489" s="41"/>
      <c r="G489" s="41"/>
    </row>
    <row r="490">
      <c r="A490" s="41"/>
      <c r="B490" s="41"/>
      <c r="C490" s="41"/>
      <c r="D490" s="41"/>
      <c r="E490" s="41">
        <f t="shared" si="1"/>
        <v>0</v>
      </c>
      <c r="F490" s="41"/>
      <c r="G490" s="41"/>
    </row>
    <row r="491">
      <c r="A491" s="41"/>
      <c r="B491" s="41"/>
      <c r="C491" s="41"/>
      <c r="D491" s="41"/>
      <c r="E491" s="41">
        <f t="shared" si="1"/>
        <v>0</v>
      </c>
      <c r="F491" s="41"/>
      <c r="G491" s="41"/>
    </row>
    <row r="492">
      <c r="A492" s="41"/>
      <c r="B492" s="41"/>
      <c r="C492" s="41"/>
      <c r="D492" s="41"/>
      <c r="E492" s="41">
        <f t="shared" si="1"/>
        <v>0</v>
      </c>
      <c r="F492" s="41"/>
      <c r="G492" s="41"/>
    </row>
    <row r="493">
      <c r="A493" s="41"/>
      <c r="B493" s="41"/>
      <c r="C493" s="41"/>
      <c r="D493" s="41"/>
      <c r="E493" s="41">
        <f t="shared" si="1"/>
        <v>0</v>
      </c>
      <c r="F493" s="41"/>
      <c r="G493" s="41"/>
    </row>
    <row r="494">
      <c r="A494" s="41"/>
      <c r="B494" s="41"/>
      <c r="C494" s="41"/>
      <c r="D494" s="41"/>
      <c r="E494" s="41">
        <f t="shared" si="1"/>
        <v>0</v>
      </c>
      <c r="F494" s="41"/>
      <c r="G494" s="41"/>
    </row>
    <row r="495">
      <c r="A495" s="41"/>
      <c r="B495" s="41"/>
      <c r="C495" s="41"/>
      <c r="D495" s="41"/>
      <c r="E495" s="41">
        <f t="shared" si="1"/>
        <v>0</v>
      </c>
      <c r="F495" s="41"/>
      <c r="G495" s="41"/>
    </row>
    <row r="496">
      <c r="A496" s="41"/>
      <c r="B496" s="41"/>
      <c r="C496" s="41"/>
      <c r="D496" s="41"/>
      <c r="E496" s="41">
        <f t="shared" si="1"/>
        <v>0</v>
      </c>
      <c r="F496" s="41"/>
      <c r="G496" s="41"/>
    </row>
    <row r="497">
      <c r="A497" s="41"/>
      <c r="B497" s="41"/>
      <c r="C497" s="41"/>
      <c r="D497" s="41"/>
      <c r="E497" s="41">
        <f t="shared" si="1"/>
        <v>0</v>
      </c>
      <c r="F497" s="41"/>
      <c r="G497" s="41"/>
    </row>
    <row r="498">
      <c r="A498" s="41"/>
      <c r="B498" s="41"/>
      <c r="C498" s="41"/>
      <c r="D498" s="41"/>
      <c r="E498" s="41">
        <f t="shared" si="1"/>
        <v>0</v>
      </c>
      <c r="F498" s="41"/>
      <c r="G498" s="41"/>
    </row>
    <row r="499">
      <c r="A499" s="41"/>
      <c r="B499" s="41"/>
      <c r="C499" s="41"/>
      <c r="D499" s="41"/>
      <c r="E499" s="41">
        <f t="shared" si="1"/>
        <v>0</v>
      </c>
      <c r="F499" s="41"/>
      <c r="G499" s="41"/>
    </row>
    <row r="500">
      <c r="A500" s="41"/>
      <c r="B500" s="41"/>
      <c r="C500" s="41"/>
      <c r="D500" s="41"/>
      <c r="E500" s="41">
        <f t="shared" si="1"/>
        <v>0</v>
      </c>
      <c r="F500" s="41"/>
      <c r="G500" s="41"/>
    </row>
    <row r="501">
      <c r="A501" s="41"/>
      <c r="B501" s="41"/>
      <c r="C501" s="41"/>
      <c r="D501" s="41"/>
      <c r="E501" s="41">
        <f t="shared" si="1"/>
        <v>0</v>
      </c>
      <c r="F501" s="41"/>
      <c r="G501" s="41"/>
    </row>
    <row r="502">
      <c r="A502" s="41"/>
      <c r="B502" s="41"/>
      <c r="C502" s="41"/>
      <c r="D502" s="41"/>
      <c r="E502" s="41">
        <f t="shared" si="1"/>
        <v>0</v>
      </c>
      <c r="F502" s="41"/>
      <c r="G502" s="41"/>
    </row>
    <row r="503">
      <c r="A503" s="41"/>
      <c r="B503" s="41"/>
      <c r="C503" s="41"/>
      <c r="D503" s="41"/>
      <c r="E503" s="41">
        <f t="shared" si="1"/>
        <v>0</v>
      </c>
      <c r="F503" s="41"/>
      <c r="G503" s="41"/>
    </row>
    <row r="504">
      <c r="A504" s="41"/>
      <c r="B504" s="41"/>
      <c r="C504" s="41"/>
      <c r="D504" s="41"/>
      <c r="E504" s="41">
        <f t="shared" si="1"/>
        <v>0</v>
      </c>
      <c r="F504" s="41"/>
      <c r="G504" s="41"/>
    </row>
    <row r="505">
      <c r="A505" s="41"/>
      <c r="B505" s="41"/>
      <c r="C505" s="41"/>
      <c r="D505" s="41"/>
      <c r="E505" s="41">
        <f t="shared" si="1"/>
        <v>0</v>
      </c>
      <c r="F505" s="41"/>
      <c r="G505" s="41"/>
    </row>
    <row r="506">
      <c r="A506" s="41"/>
      <c r="B506" s="41"/>
      <c r="C506" s="41"/>
      <c r="D506" s="41"/>
      <c r="E506" s="41">
        <f t="shared" si="1"/>
        <v>0</v>
      </c>
      <c r="F506" s="41"/>
      <c r="G506" s="41"/>
    </row>
    <row r="507">
      <c r="A507" s="41"/>
      <c r="B507" s="41"/>
      <c r="C507" s="41"/>
      <c r="D507" s="41"/>
      <c r="E507" s="41">
        <f t="shared" si="1"/>
        <v>0</v>
      </c>
      <c r="F507" s="41"/>
      <c r="G507" s="41"/>
    </row>
    <row r="508">
      <c r="A508" s="41"/>
      <c r="B508" s="41"/>
      <c r="C508" s="41"/>
      <c r="D508" s="41"/>
      <c r="E508" s="41">
        <f t="shared" si="1"/>
        <v>0</v>
      </c>
      <c r="F508" s="41"/>
      <c r="G508" s="41"/>
    </row>
    <row r="509">
      <c r="A509" s="41"/>
      <c r="B509" s="41"/>
      <c r="C509" s="41"/>
      <c r="D509" s="41"/>
      <c r="E509" s="41">
        <f t="shared" si="1"/>
        <v>0</v>
      </c>
      <c r="F509" s="41"/>
      <c r="G509" s="41"/>
    </row>
    <row r="510">
      <c r="A510" s="41"/>
      <c r="B510" s="41"/>
      <c r="C510" s="41"/>
      <c r="D510" s="41"/>
      <c r="E510" s="41">
        <f t="shared" si="1"/>
        <v>0</v>
      </c>
      <c r="F510" s="41"/>
      <c r="G510" s="41"/>
    </row>
    <row r="511">
      <c r="A511" s="41"/>
      <c r="B511" s="41"/>
      <c r="C511" s="41"/>
      <c r="D511" s="41"/>
      <c r="E511" s="41">
        <f t="shared" si="1"/>
        <v>0</v>
      </c>
      <c r="F511" s="41"/>
      <c r="G511" s="41"/>
    </row>
    <row r="512">
      <c r="A512" s="41"/>
      <c r="B512" s="41"/>
      <c r="C512" s="41"/>
      <c r="D512" s="41"/>
      <c r="E512" s="41">
        <f t="shared" si="1"/>
        <v>0</v>
      </c>
      <c r="F512" s="41"/>
      <c r="G512" s="41"/>
    </row>
    <row r="513">
      <c r="A513" s="41"/>
      <c r="B513" s="41"/>
      <c r="C513" s="41"/>
      <c r="D513" s="41"/>
      <c r="E513" s="41">
        <f t="shared" si="1"/>
        <v>0</v>
      </c>
      <c r="F513" s="41"/>
      <c r="G513" s="41"/>
    </row>
    <row r="514">
      <c r="A514" s="41"/>
      <c r="B514" s="41"/>
      <c r="C514" s="41"/>
      <c r="D514" s="41"/>
      <c r="E514" s="41">
        <f t="shared" si="1"/>
        <v>0</v>
      </c>
      <c r="F514" s="41"/>
      <c r="G514" s="41"/>
    </row>
    <row r="515">
      <c r="A515" s="41"/>
      <c r="B515" s="41"/>
      <c r="C515" s="41"/>
      <c r="D515" s="41"/>
      <c r="E515" s="41">
        <f t="shared" si="1"/>
        <v>0</v>
      </c>
      <c r="F515" s="41"/>
      <c r="G515" s="41"/>
    </row>
    <row r="516">
      <c r="A516" s="41"/>
      <c r="B516" s="41"/>
      <c r="C516" s="41"/>
      <c r="D516" s="41"/>
      <c r="E516" s="41">
        <f t="shared" si="1"/>
        <v>0</v>
      </c>
      <c r="F516" s="41"/>
      <c r="G516" s="41"/>
    </row>
    <row r="517">
      <c r="A517" s="41"/>
      <c r="B517" s="41"/>
      <c r="C517" s="41"/>
      <c r="D517" s="41"/>
      <c r="E517" s="41">
        <f t="shared" si="1"/>
        <v>0</v>
      </c>
      <c r="F517" s="41"/>
      <c r="G517" s="41"/>
    </row>
    <row r="518">
      <c r="A518" s="41"/>
      <c r="B518" s="41"/>
      <c r="C518" s="41"/>
      <c r="D518" s="41"/>
      <c r="E518" s="41">
        <f t="shared" si="1"/>
        <v>0</v>
      </c>
      <c r="F518" s="41"/>
      <c r="G518" s="41"/>
    </row>
    <row r="519">
      <c r="A519" s="41"/>
      <c r="B519" s="41"/>
      <c r="C519" s="41"/>
      <c r="D519" s="41"/>
      <c r="E519" s="41">
        <f t="shared" si="1"/>
        <v>0</v>
      </c>
      <c r="F519" s="41"/>
      <c r="G519" s="41"/>
    </row>
    <row r="520">
      <c r="A520" s="41"/>
      <c r="B520" s="41"/>
      <c r="C520" s="41"/>
      <c r="D520" s="41"/>
      <c r="E520" s="41">
        <f t="shared" si="1"/>
        <v>0</v>
      </c>
      <c r="F520" s="41"/>
      <c r="G520" s="41"/>
    </row>
    <row r="521">
      <c r="A521" s="41"/>
      <c r="B521" s="41"/>
      <c r="C521" s="41"/>
      <c r="D521" s="41"/>
      <c r="E521" s="41">
        <f t="shared" si="1"/>
        <v>0</v>
      </c>
      <c r="F521" s="41"/>
      <c r="G521" s="41"/>
    </row>
    <row r="522">
      <c r="A522" s="41"/>
      <c r="B522" s="41"/>
      <c r="C522" s="41"/>
      <c r="D522" s="41"/>
      <c r="E522" s="41">
        <f t="shared" si="1"/>
        <v>0</v>
      </c>
      <c r="F522" s="41"/>
      <c r="G522" s="41"/>
    </row>
    <row r="523">
      <c r="A523" s="41"/>
      <c r="B523" s="41"/>
      <c r="C523" s="41"/>
      <c r="D523" s="41"/>
      <c r="E523" s="41">
        <f t="shared" si="1"/>
        <v>0</v>
      </c>
      <c r="F523" s="41"/>
      <c r="G523" s="41"/>
    </row>
    <row r="524">
      <c r="A524" s="41"/>
      <c r="B524" s="41"/>
      <c r="C524" s="41"/>
      <c r="D524" s="41"/>
      <c r="E524" s="41">
        <f t="shared" si="1"/>
        <v>0</v>
      </c>
      <c r="F524" s="41"/>
      <c r="G524" s="41"/>
    </row>
    <row r="525">
      <c r="A525" s="41"/>
      <c r="B525" s="41"/>
      <c r="C525" s="41"/>
      <c r="D525" s="41"/>
      <c r="E525" s="41">
        <f t="shared" si="1"/>
        <v>0</v>
      </c>
      <c r="F525" s="41"/>
      <c r="G525" s="41"/>
    </row>
    <row r="526">
      <c r="A526" s="41"/>
      <c r="B526" s="41"/>
      <c r="C526" s="41"/>
      <c r="D526" s="41"/>
      <c r="E526" s="41">
        <f t="shared" si="1"/>
        <v>0</v>
      </c>
      <c r="F526" s="41"/>
      <c r="G526" s="41"/>
    </row>
    <row r="527">
      <c r="A527" s="41"/>
      <c r="B527" s="41"/>
      <c r="C527" s="41"/>
      <c r="D527" s="41"/>
      <c r="E527" s="41">
        <f t="shared" si="1"/>
        <v>0</v>
      </c>
      <c r="F527" s="41"/>
      <c r="G527" s="41"/>
    </row>
    <row r="528">
      <c r="A528" s="41"/>
      <c r="B528" s="41"/>
      <c r="C528" s="41"/>
      <c r="D528" s="41"/>
      <c r="E528" s="41">
        <f t="shared" si="1"/>
        <v>0</v>
      </c>
      <c r="F528" s="41"/>
      <c r="G528" s="41"/>
    </row>
    <row r="529">
      <c r="A529" s="41"/>
      <c r="B529" s="41"/>
      <c r="C529" s="41"/>
      <c r="D529" s="41"/>
      <c r="E529" s="41">
        <f t="shared" si="1"/>
        <v>0</v>
      </c>
      <c r="F529" s="41"/>
      <c r="G529" s="41"/>
    </row>
    <row r="530">
      <c r="A530" s="41"/>
      <c r="B530" s="41"/>
      <c r="C530" s="41"/>
      <c r="D530" s="41"/>
      <c r="E530" s="41">
        <f t="shared" si="1"/>
        <v>0</v>
      </c>
      <c r="F530" s="41"/>
      <c r="G530" s="41"/>
    </row>
    <row r="531">
      <c r="A531" s="41"/>
      <c r="B531" s="41"/>
      <c r="C531" s="41"/>
      <c r="D531" s="41"/>
      <c r="E531" s="41">
        <f t="shared" si="1"/>
        <v>0</v>
      </c>
      <c r="F531" s="41"/>
      <c r="G531" s="41"/>
    </row>
    <row r="532">
      <c r="A532" s="41"/>
      <c r="B532" s="41"/>
      <c r="C532" s="41"/>
      <c r="D532" s="41"/>
      <c r="E532" s="41">
        <f t="shared" si="1"/>
        <v>0</v>
      </c>
      <c r="F532" s="41"/>
      <c r="G532" s="41"/>
    </row>
    <row r="533">
      <c r="A533" s="41"/>
      <c r="B533" s="41"/>
      <c r="C533" s="41"/>
      <c r="D533" s="41"/>
      <c r="E533" s="41">
        <f t="shared" si="1"/>
        <v>0</v>
      </c>
      <c r="F533" s="41"/>
      <c r="G533" s="41"/>
    </row>
    <row r="534">
      <c r="A534" s="41"/>
      <c r="B534" s="41"/>
      <c r="C534" s="41"/>
      <c r="D534" s="41"/>
      <c r="E534" s="41">
        <f t="shared" si="1"/>
        <v>0</v>
      </c>
      <c r="F534" s="41"/>
      <c r="G534" s="41"/>
    </row>
    <row r="535">
      <c r="A535" s="41"/>
      <c r="B535" s="41"/>
      <c r="C535" s="41"/>
      <c r="D535" s="41"/>
      <c r="E535" s="41">
        <f t="shared" si="1"/>
        <v>0</v>
      </c>
      <c r="F535" s="41"/>
      <c r="G535" s="41"/>
    </row>
    <row r="536">
      <c r="A536" s="41"/>
      <c r="B536" s="41"/>
      <c r="C536" s="41"/>
      <c r="D536" s="41"/>
      <c r="E536" s="41">
        <f t="shared" si="1"/>
        <v>0</v>
      </c>
      <c r="F536" s="41"/>
      <c r="G536" s="41"/>
    </row>
    <row r="537">
      <c r="A537" s="41"/>
      <c r="B537" s="41"/>
      <c r="C537" s="41"/>
      <c r="D537" s="41"/>
      <c r="E537" s="41">
        <f t="shared" si="1"/>
        <v>0</v>
      </c>
      <c r="F537" s="41"/>
      <c r="G537" s="41"/>
    </row>
    <row r="538">
      <c r="A538" s="41"/>
      <c r="B538" s="41"/>
      <c r="C538" s="41"/>
      <c r="D538" s="41"/>
      <c r="E538" s="41">
        <f t="shared" si="1"/>
        <v>0</v>
      </c>
      <c r="F538" s="41"/>
      <c r="G538" s="41"/>
    </row>
    <row r="539">
      <c r="A539" s="41"/>
      <c r="B539" s="41"/>
      <c r="C539" s="41"/>
      <c r="D539" s="41"/>
      <c r="E539" s="41">
        <f t="shared" si="1"/>
        <v>0</v>
      </c>
      <c r="F539" s="41"/>
      <c r="G539" s="41"/>
    </row>
    <row r="540">
      <c r="A540" s="41"/>
      <c r="B540" s="41"/>
      <c r="C540" s="41"/>
      <c r="D540" s="41"/>
      <c r="E540" s="41">
        <f t="shared" si="1"/>
        <v>0</v>
      </c>
      <c r="F540" s="41"/>
      <c r="G540" s="41"/>
    </row>
    <row r="541">
      <c r="A541" s="41"/>
      <c r="B541" s="41"/>
      <c r="C541" s="41"/>
      <c r="D541" s="41"/>
      <c r="E541" s="41">
        <f t="shared" si="1"/>
        <v>0</v>
      </c>
      <c r="F541" s="41"/>
      <c r="G541" s="41"/>
    </row>
    <row r="542">
      <c r="A542" s="41"/>
      <c r="B542" s="41"/>
      <c r="C542" s="41"/>
      <c r="D542" s="41"/>
      <c r="E542" s="41">
        <f t="shared" si="1"/>
        <v>0</v>
      </c>
      <c r="F542" s="41"/>
      <c r="G542" s="41"/>
    </row>
    <row r="543">
      <c r="A543" s="41"/>
      <c r="B543" s="41"/>
      <c r="C543" s="41"/>
      <c r="D543" s="41"/>
      <c r="E543" s="41">
        <f t="shared" si="1"/>
        <v>0</v>
      </c>
      <c r="F543" s="41"/>
      <c r="G543" s="41"/>
    </row>
    <row r="544">
      <c r="A544" s="41"/>
      <c r="B544" s="41"/>
      <c r="C544" s="41"/>
      <c r="D544" s="41"/>
      <c r="E544" s="41">
        <f t="shared" si="1"/>
        <v>0</v>
      </c>
      <c r="F544" s="41"/>
      <c r="G544" s="41"/>
    </row>
    <row r="545">
      <c r="A545" s="41"/>
      <c r="B545" s="41"/>
      <c r="C545" s="41"/>
      <c r="D545" s="41"/>
      <c r="E545" s="41">
        <f t="shared" si="1"/>
        <v>0</v>
      </c>
      <c r="F545" s="41"/>
      <c r="G545" s="41"/>
    </row>
    <row r="546">
      <c r="A546" s="41"/>
      <c r="B546" s="41"/>
      <c r="C546" s="41"/>
      <c r="D546" s="41"/>
      <c r="E546" s="41">
        <f t="shared" si="1"/>
        <v>0</v>
      </c>
      <c r="F546" s="41"/>
      <c r="G546" s="41"/>
    </row>
    <row r="547">
      <c r="A547" s="41"/>
      <c r="B547" s="41"/>
      <c r="C547" s="41"/>
      <c r="D547" s="41"/>
      <c r="E547" s="41">
        <f t="shared" si="1"/>
        <v>0</v>
      </c>
      <c r="F547" s="41"/>
      <c r="G547" s="41"/>
    </row>
    <row r="548">
      <c r="A548" s="41"/>
      <c r="B548" s="41"/>
      <c r="C548" s="41"/>
      <c r="D548" s="41"/>
      <c r="E548" s="41">
        <f t="shared" si="1"/>
        <v>0</v>
      </c>
      <c r="F548" s="41"/>
      <c r="G548" s="41"/>
    </row>
    <row r="549">
      <c r="A549" s="41"/>
      <c r="B549" s="41"/>
      <c r="C549" s="41"/>
      <c r="D549" s="41"/>
      <c r="E549" s="41">
        <f t="shared" si="1"/>
        <v>0</v>
      </c>
      <c r="F549" s="41"/>
      <c r="G549" s="41"/>
    </row>
    <row r="550">
      <c r="A550" s="41"/>
      <c r="B550" s="41"/>
      <c r="C550" s="41"/>
      <c r="D550" s="41"/>
      <c r="E550" s="41">
        <f t="shared" si="1"/>
        <v>0</v>
      </c>
      <c r="F550" s="41"/>
      <c r="G550" s="41"/>
    </row>
    <row r="551">
      <c r="A551" s="41"/>
      <c r="B551" s="41"/>
      <c r="C551" s="41"/>
      <c r="D551" s="41"/>
      <c r="E551" s="41">
        <f t="shared" si="1"/>
        <v>0</v>
      </c>
      <c r="F551" s="41"/>
      <c r="G551" s="41"/>
    </row>
    <row r="552">
      <c r="A552" s="41"/>
      <c r="B552" s="41"/>
      <c r="C552" s="41"/>
      <c r="D552" s="41"/>
      <c r="E552" s="41">
        <f t="shared" si="1"/>
        <v>0</v>
      </c>
      <c r="F552" s="41"/>
      <c r="G552" s="41"/>
    </row>
    <row r="553">
      <c r="A553" s="41"/>
      <c r="B553" s="41"/>
      <c r="C553" s="41"/>
      <c r="D553" s="41"/>
      <c r="E553" s="41">
        <f t="shared" si="1"/>
        <v>0</v>
      </c>
      <c r="F553" s="41"/>
      <c r="G553" s="41"/>
    </row>
    <row r="554">
      <c r="A554" s="41"/>
      <c r="B554" s="41"/>
      <c r="C554" s="41"/>
      <c r="D554" s="41"/>
      <c r="E554" s="41">
        <f t="shared" si="1"/>
        <v>0</v>
      </c>
      <c r="F554" s="41"/>
      <c r="G554" s="41"/>
    </row>
    <row r="555">
      <c r="A555" s="41"/>
      <c r="B555" s="41"/>
      <c r="C555" s="41"/>
      <c r="D555" s="41"/>
      <c r="E555" s="41">
        <f t="shared" si="1"/>
        <v>0</v>
      </c>
      <c r="F555" s="41"/>
      <c r="G555" s="41"/>
    </row>
    <row r="556">
      <c r="A556" s="41"/>
      <c r="B556" s="41"/>
      <c r="C556" s="41"/>
      <c r="D556" s="41"/>
      <c r="E556" s="41">
        <f t="shared" si="1"/>
        <v>0</v>
      </c>
      <c r="F556" s="41"/>
      <c r="G556" s="41"/>
    </row>
    <row r="557">
      <c r="A557" s="41"/>
      <c r="B557" s="41"/>
      <c r="C557" s="41"/>
      <c r="D557" s="41"/>
      <c r="E557" s="41">
        <f t="shared" si="1"/>
        <v>0</v>
      </c>
      <c r="F557" s="41"/>
      <c r="G557" s="41"/>
    </row>
    <row r="558">
      <c r="A558" s="41"/>
      <c r="B558" s="41"/>
      <c r="C558" s="41"/>
      <c r="D558" s="41"/>
      <c r="E558" s="41">
        <f t="shared" si="1"/>
        <v>0</v>
      </c>
      <c r="F558" s="41"/>
      <c r="G558" s="41"/>
    </row>
    <row r="559">
      <c r="A559" s="41"/>
      <c r="B559" s="41"/>
      <c r="C559" s="41"/>
      <c r="D559" s="41"/>
      <c r="E559" s="41">
        <f t="shared" si="1"/>
        <v>0</v>
      </c>
      <c r="F559" s="41"/>
      <c r="G559" s="41"/>
    </row>
    <row r="560">
      <c r="A560" s="41"/>
      <c r="B560" s="41"/>
      <c r="C560" s="41"/>
      <c r="D560" s="41"/>
      <c r="E560" s="41">
        <f t="shared" si="1"/>
        <v>0</v>
      </c>
      <c r="F560" s="41"/>
      <c r="G560" s="41"/>
    </row>
    <row r="561">
      <c r="A561" s="41"/>
      <c r="B561" s="41"/>
      <c r="C561" s="41"/>
      <c r="D561" s="41"/>
      <c r="E561" s="41">
        <f t="shared" si="1"/>
        <v>0</v>
      </c>
      <c r="F561" s="41"/>
      <c r="G561" s="41"/>
    </row>
    <row r="562">
      <c r="A562" s="41"/>
      <c r="B562" s="41"/>
      <c r="C562" s="41"/>
      <c r="D562" s="41"/>
      <c r="E562" s="41">
        <f t="shared" si="1"/>
        <v>0</v>
      </c>
      <c r="F562" s="41"/>
      <c r="G562" s="41"/>
    </row>
    <row r="563">
      <c r="A563" s="41"/>
      <c r="B563" s="41"/>
      <c r="C563" s="41"/>
      <c r="D563" s="41"/>
      <c r="E563" s="41">
        <f t="shared" si="1"/>
        <v>0</v>
      </c>
      <c r="F563" s="41"/>
      <c r="G563" s="41"/>
    </row>
    <row r="564">
      <c r="A564" s="41"/>
      <c r="B564" s="41"/>
      <c r="C564" s="41"/>
      <c r="D564" s="41"/>
      <c r="E564" s="41">
        <f t="shared" si="1"/>
        <v>0</v>
      </c>
      <c r="F564" s="41"/>
      <c r="G564" s="41"/>
    </row>
    <row r="565">
      <c r="A565" s="41"/>
      <c r="B565" s="41"/>
      <c r="C565" s="41"/>
      <c r="D565" s="41"/>
      <c r="E565" s="41">
        <f t="shared" si="1"/>
        <v>0</v>
      </c>
      <c r="F565" s="41"/>
      <c r="G565" s="41"/>
    </row>
    <row r="566">
      <c r="A566" s="41"/>
      <c r="B566" s="41"/>
      <c r="C566" s="41"/>
      <c r="D566" s="41"/>
      <c r="E566" s="41">
        <f t="shared" si="1"/>
        <v>0</v>
      </c>
      <c r="F566" s="41"/>
      <c r="G566" s="41"/>
    </row>
    <row r="567">
      <c r="A567" s="41"/>
      <c r="B567" s="41"/>
      <c r="C567" s="41"/>
      <c r="D567" s="41"/>
      <c r="E567" s="41">
        <f t="shared" si="1"/>
        <v>0</v>
      </c>
      <c r="F567" s="41"/>
      <c r="G567" s="41"/>
    </row>
    <row r="568">
      <c r="A568" s="41"/>
      <c r="B568" s="41"/>
      <c r="C568" s="41"/>
      <c r="D568" s="41"/>
      <c r="E568" s="41">
        <f t="shared" si="1"/>
        <v>0</v>
      </c>
      <c r="F568" s="41"/>
      <c r="G568" s="41"/>
    </row>
    <row r="569">
      <c r="A569" s="41"/>
      <c r="B569" s="41"/>
      <c r="C569" s="41"/>
      <c r="D569" s="41"/>
      <c r="E569" s="41">
        <f t="shared" si="1"/>
        <v>0</v>
      </c>
      <c r="F569" s="41"/>
      <c r="G569" s="41"/>
    </row>
    <row r="570">
      <c r="A570" s="41"/>
      <c r="B570" s="41"/>
      <c r="C570" s="41"/>
      <c r="D570" s="41"/>
      <c r="E570" s="41">
        <f t="shared" si="1"/>
        <v>0</v>
      </c>
      <c r="F570" s="41"/>
      <c r="G570" s="41"/>
    </row>
    <row r="571">
      <c r="A571" s="41"/>
      <c r="B571" s="41"/>
      <c r="C571" s="41"/>
      <c r="D571" s="41"/>
      <c r="E571" s="41">
        <f t="shared" si="1"/>
        <v>0</v>
      </c>
      <c r="F571" s="41"/>
      <c r="G571" s="41"/>
    </row>
    <row r="572">
      <c r="A572" s="41"/>
      <c r="B572" s="41"/>
      <c r="C572" s="41"/>
      <c r="D572" s="41"/>
      <c r="E572" s="41">
        <f t="shared" si="1"/>
        <v>0</v>
      </c>
      <c r="F572" s="41"/>
      <c r="G572" s="41"/>
    </row>
    <row r="573">
      <c r="A573" s="41"/>
      <c r="B573" s="41"/>
      <c r="C573" s="41"/>
      <c r="D573" s="41"/>
      <c r="E573" s="41">
        <f t="shared" si="1"/>
        <v>0</v>
      </c>
      <c r="F573" s="41"/>
      <c r="G573" s="41"/>
    </row>
    <row r="574">
      <c r="A574" s="41"/>
      <c r="B574" s="41"/>
      <c r="C574" s="41"/>
      <c r="D574" s="41"/>
      <c r="E574" s="41">
        <f t="shared" si="1"/>
        <v>0</v>
      </c>
      <c r="F574" s="41"/>
      <c r="G574" s="41"/>
    </row>
    <row r="575">
      <c r="A575" s="41"/>
      <c r="B575" s="41"/>
      <c r="C575" s="41"/>
      <c r="D575" s="41"/>
      <c r="E575" s="41">
        <f t="shared" si="1"/>
        <v>0</v>
      </c>
      <c r="F575" s="41"/>
      <c r="G575" s="41"/>
    </row>
    <row r="576">
      <c r="A576" s="41"/>
      <c r="B576" s="41"/>
      <c r="C576" s="41"/>
      <c r="D576" s="41"/>
      <c r="E576" s="41">
        <f t="shared" si="1"/>
        <v>0</v>
      </c>
      <c r="F576" s="41"/>
      <c r="G576" s="41"/>
    </row>
    <row r="577">
      <c r="A577" s="41"/>
      <c r="B577" s="41"/>
      <c r="C577" s="41"/>
      <c r="D577" s="41"/>
      <c r="E577" s="41">
        <f t="shared" si="1"/>
        <v>0</v>
      </c>
      <c r="F577" s="41"/>
      <c r="G577" s="41"/>
    </row>
    <row r="578">
      <c r="A578" s="41"/>
      <c r="B578" s="41"/>
      <c r="C578" s="41"/>
      <c r="D578" s="41"/>
      <c r="E578" s="41">
        <f t="shared" si="1"/>
        <v>0</v>
      </c>
      <c r="F578" s="41"/>
      <c r="G578" s="41"/>
    </row>
    <row r="579">
      <c r="A579" s="41"/>
      <c r="B579" s="41"/>
      <c r="C579" s="41"/>
      <c r="D579" s="41"/>
      <c r="E579" s="41">
        <f t="shared" si="1"/>
        <v>0</v>
      </c>
      <c r="F579" s="41"/>
      <c r="G579" s="41"/>
    </row>
    <row r="580">
      <c r="A580" s="41"/>
      <c r="B580" s="41"/>
      <c r="C580" s="41"/>
      <c r="D580" s="41"/>
      <c r="E580" s="41">
        <f t="shared" si="1"/>
        <v>0</v>
      </c>
      <c r="F580" s="41"/>
      <c r="G580" s="41"/>
    </row>
    <row r="581">
      <c r="A581" s="41"/>
      <c r="B581" s="41"/>
      <c r="C581" s="41"/>
      <c r="D581" s="41"/>
      <c r="E581" s="41">
        <f t="shared" si="1"/>
        <v>0</v>
      </c>
      <c r="F581" s="41"/>
      <c r="G581" s="41"/>
    </row>
    <row r="582">
      <c r="A582" s="41"/>
      <c r="B582" s="41"/>
      <c r="C582" s="41"/>
      <c r="D582" s="41"/>
      <c r="E582" s="41">
        <f t="shared" si="1"/>
        <v>0</v>
      </c>
      <c r="F582" s="41"/>
      <c r="G582" s="41"/>
    </row>
    <row r="583">
      <c r="A583" s="41"/>
      <c r="B583" s="41"/>
      <c r="C583" s="41"/>
      <c r="D583" s="41"/>
      <c r="E583" s="41">
        <f t="shared" si="1"/>
        <v>0</v>
      </c>
      <c r="F583" s="41"/>
      <c r="G583" s="41"/>
    </row>
    <row r="584">
      <c r="A584" s="41"/>
      <c r="B584" s="41"/>
      <c r="C584" s="41"/>
      <c r="D584" s="41"/>
      <c r="E584" s="41">
        <f t="shared" si="1"/>
        <v>0</v>
      </c>
      <c r="F584" s="41"/>
      <c r="G584" s="41"/>
    </row>
    <row r="585">
      <c r="A585" s="41"/>
      <c r="B585" s="41"/>
      <c r="C585" s="41"/>
      <c r="D585" s="41"/>
      <c r="E585" s="41">
        <f t="shared" si="1"/>
        <v>0</v>
      </c>
      <c r="F585" s="41"/>
      <c r="G585" s="41"/>
    </row>
    <row r="586">
      <c r="A586" s="41"/>
      <c r="B586" s="41"/>
      <c r="C586" s="41"/>
      <c r="D586" s="41"/>
      <c r="E586" s="41">
        <f t="shared" si="1"/>
        <v>0</v>
      </c>
      <c r="F586" s="41"/>
      <c r="G586" s="41"/>
    </row>
    <row r="587">
      <c r="A587" s="41"/>
      <c r="B587" s="41"/>
      <c r="C587" s="41"/>
      <c r="D587" s="41"/>
      <c r="E587" s="41">
        <f t="shared" si="1"/>
        <v>0</v>
      </c>
      <c r="F587" s="41"/>
      <c r="G587" s="41"/>
    </row>
    <row r="588">
      <c r="A588" s="41"/>
      <c r="B588" s="41"/>
      <c r="C588" s="41"/>
      <c r="D588" s="41"/>
      <c r="E588" s="41">
        <f t="shared" si="1"/>
        <v>0</v>
      </c>
      <c r="F588" s="41"/>
      <c r="G588" s="41"/>
    </row>
    <row r="589">
      <c r="A589" s="41"/>
      <c r="B589" s="41"/>
      <c r="C589" s="41"/>
      <c r="D589" s="41"/>
      <c r="E589" s="41">
        <f t="shared" si="1"/>
        <v>0</v>
      </c>
      <c r="F589" s="41"/>
      <c r="G589" s="41"/>
    </row>
    <row r="590">
      <c r="A590" s="41"/>
      <c r="B590" s="41"/>
      <c r="C590" s="41"/>
      <c r="D590" s="41"/>
      <c r="E590" s="41">
        <f t="shared" si="1"/>
        <v>0</v>
      </c>
      <c r="F590" s="41"/>
      <c r="G590" s="41"/>
    </row>
    <row r="591">
      <c r="A591" s="41"/>
      <c r="B591" s="41"/>
      <c r="C591" s="41"/>
      <c r="D591" s="41"/>
      <c r="E591" s="41">
        <f t="shared" si="1"/>
        <v>0</v>
      </c>
      <c r="F591" s="41"/>
      <c r="G591" s="41"/>
    </row>
    <row r="592">
      <c r="A592" s="41"/>
      <c r="B592" s="41"/>
      <c r="C592" s="41"/>
      <c r="D592" s="41"/>
      <c r="E592" s="41">
        <f t="shared" si="1"/>
        <v>0</v>
      </c>
      <c r="F592" s="41"/>
      <c r="G592" s="41"/>
    </row>
    <row r="593">
      <c r="A593" s="41"/>
      <c r="B593" s="41"/>
      <c r="C593" s="41"/>
      <c r="D593" s="41"/>
      <c r="E593" s="41">
        <f t="shared" si="1"/>
        <v>0</v>
      </c>
      <c r="F593" s="41"/>
      <c r="G593" s="41"/>
    </row>
    <row r="594">
      <c r="A594" s="41"/>
      <c r="B594" s="41"/>
      <c r="C594" s="41"/>
      <c r="D594" s="41"/>
      <c r="E594" s="41">
        <f t="shared" si="1"/>
        <v>0</v>
      </c>
      <c r="F594" s="41"/>
      <c r="G594" s="41"/>
    </row>
    <row r="595">
      <c r="A595" s="41"/>
      <c r="B595" s="41"/>
      <c r="C595" s="41"/>
      <c r="D595" s="41"/>
      <c r="E595" s="41">
        <f t="shared" si="1"/>
        <v>0</v>
      </c>
      <c r="F595" s="41"/>
      <c r="G595" s="41"/>
    </row>
    <row r="596">
      <c r="A596" s="41"/>
      <c r="B596" s="41"/>
      <c r="C596" s="41"/>
      <c r="D596" s="41"/>
      <c r="E596" s="41">
        <f t="shared" si="1"/>
        <v>0</v>
      </c>
      <c r="F596" s="41"/>
      <c r="G596" s="41"/>
    </row>
    <row r="597">
      <c r="A597" s="41"/>
      <c r="B597" s="41"/>
      <c r="C597" s="41"/>
      <c r="D597" s="41"/>
      <c r="E597" s="41">
        <f t="shared" si="1"/>
        <v>0</v>
      </c>
      <c r="F597" s="41"/>
      <c r="G597" s="41"/>
    </row>
    <row r="598">
      <c r="A598" s="41"/>
      <c r="B598" s="41"/>
      <c r="C598" s="41"/>
      <c r="D598" s="41"/>
      <c r="E598" s="41">
        <f t="shared" si="1"/>
        <v>0</v>
      </c>
      <c r="F598" s="41"/>
      <c r="G598" s="41"/>
    </row>
    <row r="599">
      <c r="A599" s="41"/>
      <c r="B599" s="41"/>
      <c r="C599" s="41"/>
      <c r="D599" s="41"/>
      <c r="E599" s="41">
        <f t="shared" si="1"/>
        <v>0</v>
      </c>
      <c r="F599" s="41"/>
      <c r="G599" s="41"/>
    </row>
    <row r="600">
      <c r="A600" s="41"/>
      <c r="B600" s="41"/>
      <c r="C600" s="41"/>
      <c r="D600" s="41"/>
      <c r="E600" s="41">
        <f t="shared" si="1"/>
        <v>0</v>
      </c>
      <c r="F600" s="41"/>
      <c r="G600" s="41"/>
    </row>
    <row r="601">
      <c r="A601" s="41"/>
      <c r="B601" s="41"/>
      <c r="C601" s="41"/>
      <c r="D601" s="41"/>
      <c r="E601" s="41">
        <f t="shared" si="1"/>
        <v>0</v>
      </c>
      <c r="F601" s="41"/>
      <c r="G601" s="41"/>
    </row>
    <row r="602">
      <c r="A602" s="41"/>
      <c r="B602" s="41"/>
      <c r="C602" s="41"/>
      <c r="D602" s="41"/>
      <c r="E602" s="41">
        <f t="shared" si="1"/>
        <v>0</v>
      </c>
      <c r="F602" s="41"/>
      <c r="G602" s="41"/>
    </row>
    <row r="603">
      <c r="A603" s="41"/>
      <c r="B603" s="41"/>
      <c r="C603" s="41"/>
      <c r="D603" s="41"/>
      <c r="E603" s="41">
        <f t="shared" si="1"/>
        <v>0</v>
      </c>
      <c r="F603" s="41"/>
      <c r="G603" s="41"/>
    </row>
    <row r="604">
      <c r="A604" s="41"/>
      <c r="B604" s="41"/>
      <c r="C604" s="41"/>
      <c r="D604" s="41"/>
      <c r="E604" s="41">
        <f t="shared" si="1"/>
        <v>0</v>
      </c>
      <c r="F604" s="41"/>
      <c r="G604" s="41"/>
    </row>
    <row r="605">
      <c r="A605" s="41"/>
      <c r="B605" s="41"/>
      <c r="C605" s="41"/>
      <c r="D605" s="41"/>
      <c r="E605" s="41">
        <f t="shared" si="1"/>
        <v>0</v>
      </c>
      <c r="F605" s="41"/>
      <c r="G605" s="41"/>
    </row>
    <row r="606">
      <c r="A606" s="41"/>
      <c r="B606" s="41"/>
      <c r="C606" s="41"/>
      <c r="D606" s="41"/>
      <c r="E606" s="41">
        <f t="shared" si="1"/>
        <v>0</v>
      </c>
      <c r="F606" s="41"/>
      <c r="G606" s="41"/>
    </row>
    <row r="607">
      <c r="A607" s="41"/>
      <c r="B607" s="41"/>
      <c r="C607" s="41"/>
      <c r="D607" s="41"/>
      <c r="E607" s="41">
        <f t="shared" si="1"/>
        <v>0</v>
      </c>
      <c r="F607" s="41"/>
      <c r="G607" s="41"/>
    </row>
    <row r="608">
      <c r="A608" s="41"/>
      <c r="B608" s="41"/>
      <c r="C608" s="41"/>
      <c r="D608" s="41"/>
      <c r="E608" s="41">
        <f t="shared" si="1"/>
        <v>0</v>
      </c>
      <c r="F608" s="41"/>
      <c r="G608" s="41"/>
    </row>
    <row r="609">
      <c r="A609" s="41"/>
      <c r="B609" s="41"/>
      <c r="C609" s="41"/>
      <c r="D609" s="41"/>
      <c r="E609" s="41">
        <f t="shared" si="1"/>
        <v>0</v>
      </c>
      <c r="F609" s="41"/>
      <c r="G609" s="41"/>
    </row>
    <row r="610">
      <c r="A610" s="41"/>
      <c r="B610" s="41"/>
      <c r="C610" s="41"/>
      <c r="D610" s="41"/>
      <c r="E610" s="41">
        <f t="shared" si="1"/>
        <v>0</v>
      </c>
      <c r="F610" s="41"/>
      <c r="G610" s="41"/>
    </row>
    <row r="611">
      <c r="A611" s="41"/>
      <c r="B611" s="41"/>
      <c r="C611" s="41"/>
      <c r="D611" s="41"/>
      <c r="E611" s="41">
        <f t="shared" si="1"/>
        <v>0</v>
      </c>
      <c r="F611" s="41"/>
      <c r="G611" s="41"/>
    </row>
    <row r="612">
      <c r="A612" s="41"/>
      <c r="B612" s="41"/>
      <c r="C612" s="41"/>
      <c r="D612" s="41"/>
      <c r="E612" s="41">
        <f t="shared" si="1"/>
        <v>0</v>
      </c>
      <c r="F612" s="41"/>
      <c r="G612" s="41"/>
    </row>
    <row r="613">
      <c r="A613" s="41"/>
      <c r="B613" s="41"/>
      <c r="C613" s="41"/>
      <c r="D613" s="41"/>
      <c r="E613" s="41">
        <f t="shared" si="1"/>
        <v>0</v>
      </c>
      <c r="F613" s="41"/>
      <c r="G613" s="41"/>
    </row>
    <row r="614">
      <c r="A614" s="41"/>
      <c r="B614" s="41"/>
      <c r="C614" s="41"/>
      <c r="D614" s="41"/>
      <c r="E614" s="41">
        <f t="shared" si="1"/>
        <v>0</v>
      </c>
      <c r="F614" s="41"/>
      <c r="G614" s="41"/>
    </row>
    <row r="615">
      <c r="A615" s="41"/>
      <c r="B615" s="41"/>
      <c r="C615" s="41"/>
      <c r="D615" s="41"/>
      <c r="E615" s="41">
        <f t="shared" si="1"/>
        <v>0</v>
      </c>
      <c r="F615" s="41"/>
      <c r="G615" s="41"/>
    </row>
    <row r="616">
      <c r="A616" s="41"/>
      <c r="B616" s="41"/>
      <c r="C616" s="41"/>
      <c r="D616" s="41"/>
      <c r="E616" s="41">
        <f t="shared" si="1"/>
        <v>0</v>
      </c>
      <c r="F616" s="41"/>
      <c r="G616" s="41"/>
    </row>
    <row r="617">
      <c r="A617" s="41"/>
      <c r="B617" s="41"/>
      <c r="C617" s="41"/>
      <c r="D617" s="41"/>
      <c r="E617" s="41">
        <f t="shared" si="1"/>
        <v>0</v>
      </c>
      <c r="F617" s="41"/>
      <c r="G617" s="41"/>
    </row>
    <row r="618">
      <c r="A618" s="41"/>
      <c r="B618" s="41"/>
      <c r="C618" s="41"/>
      <c r="D618" s="41"/>
      <c r="E618" s="41">
        <f t="shared" si="1"/>
        <v>0</v>
      </c>
      <c r="F618" s="41"/>
      <c r="G618" s="41"/>
    </row>
    <row r="619">
      <c r="A619" s="41"/>
      <c r="B619" s="41"/>
      <c r="C619" s="41"/>
      <c r="D619" s="41"/>
      <c r="E619" s="41">
        <f t="shared" si="1"/>
        <v>0</v>
      </c>
      <c r="F619" s="41"/>
      <c r="G619" s="41"/>
    </row>
    <row r="620">
      <c r="A620" s="41"/>
      <c r="B620" s="41"/>
      <c r="C620" s="41"/>
      <c r="D620" s="41"/>
      <c r="E620" s="41">
        <f t="shared" si="1"/>
        <v>0</v>
      </c>
      <c r="F620" s="41"/>
      <c r="G620" s="41"/>
    </row>
    <row r="621">
      <c r="A621" s="41"/>
      <c r="B621" s="41"/>
      <c r="C621" s="41"/>
      <c r="D621" s="41"/>
      <c r="E621" s="41">
        <f t="shared" si="1"/>
        <v>0</v>
      </c>
      <c r="F621" s="41"/>
      <c r="G621" s="41"/>
    </row>
    <row r="622">
      <c r="A622" s="41"/>
      <c r="B622" s="41"/>
      <c r="C622" s="41"/>
      <c r="D622" s="41"/>
      <c r="E622" s="41">
        <f t="shared" si="1"/>
        <v>0</v>
      </c>
      <c r="F622" s="41"/>
      <c r="G622" s="41"/>
    </row>
    <row r="623">
      <c r="A623" s="41"/>
      <c r="B623" s="41"/>
      <c r="C623" s="41"/>
      <c r="D623" s="41"/>
      <c r="E623" s="41">
        <f t="shared" si="1"/>
        <v>0</v>
      </c>
      <c r="F623" s="41"/>
      <c r="G623" s="41"/>
    </row>
    <row r="624">
      <c r="A624" s="41"/>
      <c r="B624" s="41"/>
      <c r="C624" s="41"/>
      <c r="D624" s="41"/>
      <c r="E624" s="41">
        <f t="shared" si="1"/>
        <v>0</v>
      </c>
      <c r="F624" s="41"/>
      <c r="G624" s="41"/>
    </row>
    <row r="625">
      <c r="A625" s="41"/>
      <c r="B625" s="41"/>
      <c r="C625" s="41"/>
      <c r="D625" s="41"/>
      <c r="E625" s="41">
        <f t="shared" si="1"/>
        <v>0</v>
      </c>
      <c r="F625" s="41"/>
      <c r="G625" s="41"/>
    </row>
    <row r="626">
      <c r="A626" s="41"/>
      <c r="B626" s="41"/>
      <c r="C626" s="41"/>
      <c r="D626" s="41"/>
      <c r="E626" s="41">
        <f t="shared" si="1"/>
        <v>0</v>
      </c>
      <c r="F626" s="41"/>
      <c r="G626" s="41"/>
    </row>
    <row r="627">
      <c r="A627" s="41"/>
      <c r="B627" s="41"/>
      <c r="C627" s="41"/>
      <c r="D627" s="41"/>
      <c r="E627" s="41">
        <f t="shared" si="1"/>
        <v>0</v>
      </c>
      <c r="F627" s="41"/>
      <c r="G627" s="41"/>
    </row>
    <row r="628">
      <c r="A628" s="41"/>
      <c r="B628" s="41"/>
      <c r="C628" s="41"/>
      <c r="D628" s="41"/>
      <c r="E628" s="41">
        <f t="shared" si="1"/>
        <v>0</v>
      </c>
      <c r="F628" s="41"/>
      <c r="G628" s="41"/>
    </row>
    <row r="629">
      <c r="A629" s="41"/>
      <c r="B629" s="41"/>
      <c r="C629" s="41"/>
      <c r="D629" s="41"/>
      <c r="E629" s="41">
        <f t="shared" si="1"/>
        <v>0</v>
      </c>
      <c r="F629" s="41"/>
      <c r="G629" s="41"/>
    </row>
    <row r="630">
      <c r="A630" s="41"/>
      <c r="B630" s="41"/>
      <c r="C630" s="41"/>
      <c r="D630" s="41"/>
      <c r="E630" s="41">
        <f t="shared" si="1"/>
        <v>0</v>
      </c>
      <c r="F630" s="41"/>
      <c r="G630" s="41"/>
    </row>
    <row r="631">
      <c r="A631" s="41"/>
      <c r="B631" s="41"/>
      <c r="C631" s="41"/>
      <c r="D631" s="41"/>
      <c r="E631" s="41">
        <f t="shared" si="1"/>
        <v>0</v>
      </c>
      <c r="F631" s="41"/>
      <c r="G631" s="41"/>
    </row>
    <row r="632">
      <c r="A632" s="41"/>
      <c r="B632" s="41"/>
      <c r="C632" s="41"/>
      <c r="D632" s="41"/>
      <c r="E632" s="41">
        <f t="shared" si="1"/>
        <v>0</v>
      </c>
      <c r="F632" s="41"/>
      <c r="G632" s="41"/>
    </row>
    <row r="633">
      <c r="A633" s="41"/>
      <c r="B633" s="41"/>
      <c r="C633" s="41"/>
      <c r="D633" s="41"/>
      <c r="E633" s="41">
        <f t="shared" si="1"/>
        <v>0</v>
      </c>
      <c r="F633" s="41"/>
      <c r="G633" s="41"/>
    </row>
    <row r="634">
      <c r="A634" s="41"/>
      <c r="B634" s="41"/>
      <c r="C634" s="41"/>
      <c r="D634" s="41"/>
      <c r="E634" s="41">
        <f t="shared" si="1"/>
        <v>0</v>
      </c>
      <c r="F634" s="41"/>
      <c r="G634" s="41"/>
    </row>
    <row r="635">
      <c r="A635" s="41"/>
      <c r="B635" s="41"/>
      <c r="C635" s="41"/>
      <c r="D635" s="41"/>
      <c r="E635" s="41">
        <f t="shared" si="1"/>
        <v>0</v>
      </c>
      <c r="F635" s="41"/>
      <c r="G635" s="41"/>
    </row>
    <row r="636">
      <c r="A636" s="41"/>
      <c r="B636" s="41"/>
      <c r="C636" s="41"/>
      <c r="D636" s="41"/>
      <c r="E636" s="41">
        <f t="shared" si="1"/>
        <v>0</v>
      </c>
      <c r="F636" s="41"/>
      <c r="G636" s="41"/>
    </row>
    <row r="637">
      <c r="A637" s="41"/>
      <c r="B637" s="41"/>
      <c r="C637" s="41"/>
      <c r="D637" s="41"/>
      <c r="E637" s="41">
        <f t="shared" si="1"/>
        <v>0</v>
      </c>
      <c r="F637" s="41"/>
      <c r="G637" s="41"/>
    </row>
    <row r="638">
      <c r="A638" s="41"/>
      <c r="B638" s="41"/>
      <c r="C638" s="41"/>
      <c r="D638" s="41"/>
      <c r="E638" s="41">
        <f t="shared" si="1"/>
        <v>0</v>
      </c>
      <c r="F638" s="41"/>
      <c r="G638" s="41"/>
    </row>
    <row r="639">
      <c r="A639" s="41"/>
      <c r="B639" s="41"/>
      <c r="C639" s="41"/>
      <c r="D639" s="41"/>
      <c r="E639" s="41">
        <f t="shared" si="1"/>
        <v>0</v>
      </c>
      <c r="F639" s="41"/>
      <c r="G639" s="41"/>
    </row>
    <row r="640">
      <c r="A640" s="41"/>
      <c r="B640" s="41"/>
      <c r="C640" s="41"/>
      <c r="D640" s="41"/>
      <c r="E640" s="41">
        <f t="shared" si="1"/>
        <v>0</v>
      </c>
      <c r="F640" s="41"/>
      <c r="G640" s="41"/>
    </row>
    <row r="641">
      <c r="A641" s="41"/>
      <c r="B641" s="41"/>
      <c r="C641" s="41"/>
      <c r="D641" s="41"/>
      <c r="E641" s="41">
        <f t="shared" si="1"/>
        <v>0</v>
      </c>
      <c r="F641" s="41"/>
      <c r="G641" s="41"/>
    </row>
    <row r="642">
      <c r="A642" s="41"/>
      <c r="B642" s="41"/>
      <c r="C642" s="41"/>
      <c r="D642" s="41"/>
      <c r="E642" s="41">
        <f t="shared" si="1"/>
        <v>0</v>
      </c>
      <c r="F642" s="41"/>
      <c r="G642" s="41"/>
    </row>
    <row r="643">
      <c r="A643" s="41"/>
      <c r="B643" s="41"/>
      <c r="C643" s="41"/>
      <c r="D643" s="41"/>
      <c r="E643" s="41">
        <f t="shared" si="1"/>
        <v>0</v>
      </c>
      <c r="F643" s="41"/>
      <c r="G643" s="41"/>
    </row>
    <row r="644">
      <c r="A644" s="41"/>
      <c r="B644" s="41"/>
      <c r="C644" s="41"/>
      <c r="D644" s="41"/>
      <c r="E644" s="41">
        <f t="shared" si="1"/>
        <v>0</v>
      </c>
      <c r="F644" s="41"/>
      <c r="G644" s="41"/>
    </row>
    <row r="645">
      <c r="A645" s="41"/>
      <c r="B645" s="41"/>
      <c r="C645" s="41"/>
      <c r="D645" s="41"/>
      <c r="E645" s="41">
        <f t="shared" si="1"/>
        <v>0</v>
      </c>
      <c r="F645" s="41"/>
      <c r="G645" s="41"/>
    </row>
    <row r="646">
      <c r="A646" s="41"/>
      <c r="B646" s="41"/>
      <c r="C646" s="41"/>
      <c r="D646" s="41"/>
      <c r="E646" s="41">
        <f t="shared" si="1"/>
        <v>0</v>
      </c>
      <c r="F646" s="41"/>
      <c r="G646" s="41"/>
    </row>
    <row r="647">
      <c r="A647" s="41"/>
      <c r="B647" s="41"/>
      <c r="C647" s="41"/>
      <c r="D647" s="41"/>
      <c r="E647" s="41">
        <f t="shared" si="1"/>
        <v>0</v>
      </c>
      <c r="F647" s="41"/>
      <c r="G647" s="41"/>
    </row>
    <row r="648">
      <c r="A648" s="41"/>
      <c r="B648" s="41"/>
      <c r="C648" s="41"/>
      <c r="D648" s="41"/>
      <c r="E648" s="41">
        <f t="shared" si="1"/>
        <v>0</v>
      </c>
      <c r="F648" s="41"/>
      <c r="G648" s="41"/>
    </row>
    <row r="649">
      <c r="A649" s="41"/>
      <c r="B649" s="41"/>
      <c r="C649" s="41"/>
      <c r="D649" s="41"/>
      <c r="E649" s="41">
        <f t="shared" si="1"/>
        <v>0</v>
      </c>
      <c r="F649" s="41"/>
      <c r="G649" s="41"/>
    </row>
    <row r="650">
      <c r="A650" s="41"/>
      <c r="B650" s="41"/>
      <c r="C650" s="41"/>
      <c r="D650" s="41"/>
      <c r="E650" s="41">
        <f t="shared" si="1"/>
        <v>0</v>
      </c>
      <c r="F650" s="41"/>
      <c r="G650" s="41"/>
    </row>
    <row r="651">
      <c r="A651" s="41"/>
      <c r="B651" s="41"/>
      <c r="C651" s="41"/>
      <c r="D651" s="41"/>
      <c r="E651" s="41">
        <f t="shared" si="1"/>
        <v>0</v>
      </c>
      <c r="F651" s="41"/>
      <c r="G651" s="41"/>
    </row>
    <row r="652">
      <c r="A652" s="41"/>
      <c r="B652" s="41"/>
      <c r="C652" s="41"/>
      <c r="D652" s="41"/>
      <c r="E652" s="41">
        <f t="shared" si="1"/>
        <v>0</v>
      </c>
      <c r="F652" s="41"/>
      <c r="G652" s="41"/>
    </row>
    <row r="653">
      <c r="A653" s="41"/>
      <c r="B653" s="41"/>
      <c r="C653" s="41"/>
      <c r="D653" s="41"/>
      <c r="E653" s="41">
        <f t="shared" si="1"/>
        <v>0</v>
      </c>
      <c r="F653" s="41"/>
      <c r="G653" s="41"/>
    </row>
    <row r="654">
      <c r="A654" s="41"/>
      <c r="B654" s="41"/>
      <c r="C654" s="41"/>
      <c r="D654" s="41"/>
      <c r="E654" s="41">
        <f t="shared" si="1"/>
        <v>0</v>
      </c>
      <c r="F654" s="41"/>
      <c r="G654" s="41"/>
    </row>
    <row r="655">
      <c r="A655" s="41"/>
      <c r="B655" s="41"/>
      <c r="C655" s="41"/>
      <c r="D655" s="41"/>
      <c r="E655" s="41">
        <f t="shared" si="1"/>
        <v>0</v>
      </c>
      <c r="F655" s="41"/>
      <c r="G655" s="41"/>
    </row>
    <row r="656">
      <c r="A656" s="41"/>
      <c r="B656" s="41"/>
      <c r="C656" s="41"/>
      <c r="D656" s="41"/>
      <c r="E656" s="41">
        <f t="shared" si="1"/>
        <v>0</v>
      </c>
      <c r="F656" s="41"/>
      <c r="G656" s="41"/>
    </row>
    <row r="657">
      <c r="A657" s="41"/>
      <c r="B657" s="41"/>
      <c r="C657" s="41"/>
      <c r="D657" s="41"/>
      <c r="E657" s="41">
        <f t="shared" si="1"/>
        <v>0</v>
      </c>
      <c r="F657" s="41"/>
      <c r="G657" s="41"/>
    </row>
    <row r="658">
      <c r="A658" s="41"/>
      <c r="B658" s="41"/>
      <c r="C658" s="41"/>
      <c r="D658" s="41"/>
      <c r="E658" s="41">
        <f t="shared" si="1"/>
        <v>0</v>
      </c>
      <c r="F658" s="41"/>
      <c r="G658" s="41"/>
    </row>
    <row r="659">
      <c r="A659" s="41"/>
      <c r="B659" s="41"/>
      <c r="C659" s="41"/>
      <c r="D659" s="41"/>
      <c r="E659" s="41">
        <f t="shared" si="1"/>
        <v>0</v>
      </c>
      <c r="F659" s="41"/>
      <c r="G659" s="41"/>
    </row>
    <row r="660">
      <c r="A660" s="41"/>
      <c r="B660" s="41"/>
      <c r="C660" s="41"/>
      <c r="D660" s="41"/>
      <c r="E660" s="41">
        <f t="shared" si="1"/>
        <v>0</v>
      </c>
      <c r="F660" s="41"/>
      <c r="G660" s="41"/>
    </row>
    <row r="661">
      <c r="A661" s="41"/>
      <c r="B661" s="41"/>
      <c r="C661" s="41"/>
      <c r="D661" s="41"/>
      <c r="E661" s="41">
        <f t="shared" si="1"/>
        <v>0</v>
      </c>
      <c r="F661" s="41"/>
      <c r="G661" s="41"/>
    </row>
    <row r="662">
      <c r="A662" s="41"/>
      <c r="B662" s="41"/>
      <c r="C662" s="41"/>
      <c r="D662" s="41"/>
      <c r="E662" s="41">
        <f t="shared" si="1"/>
        <v>0</v>
      </c>
      <c r="F662" s="41"/>
      <c r="G662" s="41"/>
    </row>
    <row r="663">
      <c r="A663" s="41"/>
      <c r="B663" s="41"/>
      <c r="C663" s="41"/>
      <c r="D663" s="41"/>
      <c r="E663" s="41">
        <f t="shared" si="1"/>
        <v>0</v>
      </c>
      <c r="F663" s="41"/>
      <c r="G663" s="41"/>
    </row>
    <row r="664">
      <c r="A664" s="41"/>
      <c r="B664" s="41"/>
      <c r="C664" s="41"/>
      <c r="D664" s="41"/>
      <c r="E664" s="41">
        <f t="shared" si="1"/>
        <v>0</v>
      </c>
      <c r="F664" s="41"/>
      <c r="G664" s="41"/>
    </row>
    <row r="665">
      <c r="A665" s="41"/>
      <c r="B665" s="41"/>
      <c r="C665" s="41"/>
      <c r="D665" s="41"/>
      <c r="E665" s="41">
        <f t="shared" si="1"/>
        <v>0</v>
      </c>
      <c r="F665" s="41"/>
      <c r="G665" s="41"/>
    </row>
    <row r="666">
      <c r="A666" s="41"/>
      <c r="B666" s="41"/>
      <c r="C666" s="41"/>
      <c r="D666" s="41"/>
      <c r="E666" s="41">
        <f t="shared" si="1"/>
        <v>0</v>
      </c>
      <c r="F666" s="41"/>
      <c r="G666" s="41"/>
    </row>
    <row r="667">
      <c r="A667" s="41"/>
      <c r="B667" s="41"/>
      <c r="C667" s="41"/>
      <c r="D667" s="41"/>
      <c r="E667" s="41">
        <f t="shared" si="1"/>
        <v>0</v>
      </c>
      <c r="F667" s="41"/>
      <c r="G667" s="41"/>
    </row>
    <row r="668">
      <c r="A668" s="41"/>
      <c r="B668" s="41"/>
      <c r="C668" s="41"/>
      <c r="D668" s="41"/>
      <c r="E668" s="41">
        <f t="shared" si="1"/>
        <v>0</v>
      </c>
      <c r="F668" s="41"/>
      <c r="G668" s="41"/>
    </row>
    <row r="669">
      <c r="A669" s="41"/>
      <c r="B669" s="41"/>
      <c r="C669" s="41"/>
      <c r="D669" s="41"/>
      <c r="E669" s="41">
        <f t="shared" si="1"/>
        <v>0</v>
      </c>
      <c r="F669" s="41"/>
      <c r="G669" s="41"/>
    </row>
    <row r="670">
      <c r="A670" s="41"/>
      <c r="B670" s="41"/>
      <c r="C670" s="41"/>
      <c r="D670" s="41"/>
      <c r="E670" s="41">
        <f t="shared" si="1"/>
        <v>0</v>
      </c>
      <c r="F670" s="41"/>
      <c r="G670" s="41"/>
    </row>
    <row r="671">
      <c r="A671" s="41"/>
      <c r="B671" s="41"/>
      <c r="C671" s="41"/>
      <c r="D671" s="41"/>
      <c r="E671" s="41">
        <f t="shared" si="1"/>
        <v>0</v>
      </c>
      <c r="F671" s="41"/>
      <c r="G671" s="41"/>
    </row>
    <row r="672">
      <c r="A672" s="41"/>
      <c r="B672" s="41"/>
      <c r="C672" s="41"/>
      <c r="D672" s="41"/>
      <c r="E672" s="41">
        <f t="shared" si="1"/>
        <v>0</v>
      </c>
      <c r="F672" s="41"/>
      <c r="G672" s="41"/>
    </row>
    <row r="673">
      <c r="A673" s="41"/>
      <c r="B673" s="41"/>
      <c r="C673" s="41"/>
      <c r="D673" s="41"/>
      <c r="E673" s="41">
        <f t="shared" si="1"/>
        <v>0</v>
      </c>
      <c r="F673" s="41"/>
      <c r="G673" s="41"/>
    </row>
    <row r="674">
      <c r="A674" s="41"/>
      <c r="B674" s="41"/>
      <c r="C674" s="41"/>
      <c r="D674" s="41"/>
      <c r="E674" s="41">
        <f t="shared" si="1"/>
        <v>0</v>
      </c>
      <c r="F674" s="41"/>
      <c r="G674" s="41"/>
    </row>
    <row r="675">
      <c r="A675" s="41"/>
      <c r="B675" s="41"/>
      <c r="C675" s="41"/>
      <c r="D675" s="41"/>
      <c r="E675" s="41">
        <f t="shared" si="1"/>
        <v>0</v>
      </c>
      <c r="F675" s="41"/>
      <c r="G675" s="41"/>
    </row>
    <row r="676">
      <c r="A676" s="41"/>
      <c r="B676" s="41"/>
      <c r="C676" s="41"/>
      <c r="D676" s="41"/>
      <c r="E676" s="41">
        <f t="shared" si="1"/>
        <v>0</v>
      </c>
      <c r="F676" s="41"/>
      <c r="G676" s="41"/>
    </row>
    <row r="677">
      <c r="A677" s="41"/>
      <c r="B677" s="41"/>
      <c r="C677" s="41"/>
      <c r="D677" s="41"/>
      <c r="E677" s="41">
        <f t="shared" si="1"/>
        <v>0</v>
      </c>
      <c r="F677" s="41"/>
      <c r="G677" s="41"/>
    </row>
    <row r="678">
      <c r="A678" s="41"/>
      <c r="B678" s="41"/>
      <c r="C678" s="41"/>
      <c r="D678" s="41"/>
      <c r="E678" s="41">
        <f t="shared" si="1"/>
        <v>0</v>
      </c>
      <c r="F678" s="41"/>
      <c r="G678" s="41"/>
    </row>
    <row r="679">
      <c r="A679" s="41"/>
      <c r="B679" s="41"/>
      <c r="C679" s="41"/>
      <c r="D679" s="41"/>
      <c r="E679" s="41">
        <f t="shared" si="1"/>
        <v>0</v>
      </c>
      <c r="F679" s="41"/>
      <c r="G679" s="41"/>
    </row>
    <row r="680">
      <c r="A680" s="41"/>
      <c r="B680" s="41"/>
      <c r="C680" s="41"/>
      <c r="D680" s="41"/>
      <c r="E680" s="41">
        <f t="shared" si="1"/>
        <v>0</v>
      </c>
      <c r="F680" s="41"/>
      <c r="G680" s="41"/>
    </row>
    <row r="681">
      <c r="A681" s="41"/>
      <c r="B681" s="41"/>
      <c r="C681" s="41"/>
      <c r="D681" s="41"/>
      <c r="E681" s="41">
        <f t="shared" si="1"/>
        <v>0</v>
      </c>
      <c r="F681" s="41"/>
      <c r="G681" s="41"/>
    </row>
    <row r="682">
      <c r="A682" s="41"/>
      <c r="B682" s="41"/>
      <c r="C682" s="41"/>
      <c r="D682" s="41"/>
      <c r="E682" s="41">
        <f t="shared" si="1"/>
        <v>0</v>
      </c>
      <c r="F682" s="41"/>
      <c r="G682" s="41"/>
    </row>
    <row r="683">
      <c r="A683" s="41"/>
      <c r="B683" s="41"/>
      <c r="C683" s="41"/>
      <c r="D683" s="41"/>
      <c r="E683" s="41">
        <f t="shared" si="1"/>
        <v>0</v>
      </c>
      <c r="F683" s="41"/>
      <c r="G683" s="41"/>
    </row>
    <row r="684">
      <c r="A684" s="41"/>
      <c r="B684" s="41"/>
      <c r="C684" s="41"/>
      <c r="D684" s="41"/>
      <c r="E684" s="41">
        <f t="shared" si="1"/>
        <v>0</v>
      </c>
      <c r="F684" s="41"/>
      <c r="G684" s="41"/>
    </row>
    <row r="685">
      <c r="A685" s="41"/>
      <c r="B685" s="41"/>
      <c r="C685" s="41"/>
      <c r="D685" s="41"/>
      <c r="E685" s="41">
        <f t="shared" si="1"/>
        <v>0</v>
      </c>
      <c r="F685" s="41"/>
      <c r="G685" s="41"/>
    </row>
    <row r="686">
      <c r="A686" s="41"/>
      <c r="B686" s="41"/>
      <c r="C686" s="41"/>
      <c r="D686" s="41"/>
      <c r="E686" s="41">
        <f t="shared" si="1"/>
        <v>0</v>
      </c>
      <c r="F686" s="41"/>
      <c r="G686" s="41"/>
    </row>
    <row r="687">
      <c r="A687" s="41"/>
      <c r="B687" s="41"/>
      <c r="C687" s="41"/>
      <c r="D687" s="41"/>
      <c r="E687" s="41">
        <f t="shared" si="1"/>
        <v>0</v>
      </c>
      <c r="F687" s="41"/>
      <c r="G687" s="41"/>
    </row>
    <row r="688">
      <c r="A688" s="41"/>
      <c r="B688" s="41"/>
      <c r="C688" s="41"/>
      <c r="D688" s="41"/>
      <c r="E688" s="41">
        <f t="shared" si="1"/>
        <v>0</v>
      </c>
      <c r="F688" s="41"/>
      <c r="G688" s="41"/>
    </row>
    <row r="689">
      <c r="A689" s="41"/>
      <c r="B689" s="41"/>
      <c r="C689" s="41"/>
      <c r="D689" s="41"/>
      <c r="E689" s="41">
        <f t="shared" si="1"/>
        <v>0</v>
      </c>
      <c r="F689" s="41"/>
      <c r="G689" s="41"/>
    </row>
    <row r="690">
      <c r="A690" s="41"/>
      <c r="B690" s="41"/>
      <c r="C690" s="41"/>
      <c r="D690" s="41"/>
      <c r="E690" s="41">
        <f t="shared" si="1"/>
        <v>0</v>
      </c>
      <c r="F690" s="41"/>
      <c r="G690" s="41"/>
    </row>
    <row r="691">
      <c r="A691" s="41"/>
      <c r="B691" s="41"/>
      <c r="C691" s="41"/>
      <c r="D691" s="41"/>
      <c r="E691" s="41">
        <f t="shared" si="1"/>
        <v>0</v>
      </c>
      <c r="F691" s="41"/>
      <c r="G691" s="41"/>
    </row>
    <row r="692">
      <c r="A692" s="41"/>
      <c r="B692" s="41"/>
      <c r="C692" s="41"/>
      <c r="D692" s="41"/>
      <c r="E692" s="41">
        <f t="shared" si="1"/>
        <v>0</v>
      </c>
      <c r="F692" s="41"/>
      <c r="G692" s="41"/>
    </row>
    <row r="693">
      <c r="A693" s="41"/>
      <c r="B693" s="41"/>
      <c r="C693" s="41"/>
      <c r="D693" s="41"/>
      <c r="E693" s="41">
        <f t="shared" si="1"/>
        <v>0</v>
      </c>
      <c r="F693" s="41"/>
      <c r="G693" s="41"/>
    </row>
    <row r="694">
      <c r="A694" s="41"/>
      <c r="B694" s="41"/>
      <c r="C694" s="41"/>
      <c r="D694" s="41"/>
      <c r="E694" s="41">
        <f t="shared" si="1"/>
        <v>0</v>
      </c>
      <c r="F694" s="41"/>
      <c r="G694" s="41"/>
    </row>
    <row r="695">
      <c r="A695" s="41"/>
      <c r="B695" s="41"/>
      <c r="C695" s="41"/>
      <c r="D695" s="41"/>
      <c r="E695" s="41">
        <f t="shared" si="1"/>
        <v>0</v>
      </c>
      <c r="F695" s="41"/>
      <c r="G695" s="41"/>
    </row>
    <row r="696">
      <c r="A696" s="41"/>
      <c r="B696" s="41"/>
      <c r="C696" s="41"/>
      <c r="D696" s="41"/>
      <c r="E696" s="41">
        <f t="shared" si="1"/>
        <v>0</v>
      </c>
      <c r="F696" s="41"/>
      <c r="G696" s="41"/>
    </row>
    <row r="697">
      <c r="A697" s="41"/>
      <c r="B697" s="41"/>
      <c r="C697" s="41"/>
      <c r="D697" s="41"/>
      <c r="E697" s="41">
        <f t="shared" si="1"/>
        <v>0</v>
      </c>
      <c r="F697" s="41"/>
      <c r="G697" s="41"/>
    </row>
    <row r="698">
      <c r="A698" s="41"/>
      <c r="B698" s="41"/>
      <c r="C698" s="41"/>
      <c r="D698" s="41"/>
      <c r="E698" s="41">
        <f t="shared" si="1"/>
        <v>0</v>
      </c>
      <c r="F698" s="41"/>
      <c r="G698" s="41"/>
    </row>
    <row r="699">
      <c r="A699" s="41"/>
      <c r="B699" s="41"/>
      <c r="C699" s="41"/>
      <c r="D699" s="41"/>
      <c r="E699" s="41">
        <f t="shared" si="1"/>
        <v>0</v>
      </c>
      <c r="F699" s="41"/>
      <c r="G699" s="41"/>
    </row>
    <row r="700">
      <c r="A700" s="41"/>
      <c r="B700" s="41"/>
      <c r="C700" s="41"/>
      <c r="D700" s="41"/>
      <c r="E700" s="41">
        <f t="shared" si="1"/>
        <v>0</v>
      </c>
      <c r="F700" s="41"/>
      <c r="G700" s="41"/>
    </row>
    <row r="701">
      <c r="A701" s="41"/>
      <c r="B701" s="41"/>
      <c r="C701" s="41"/>
      <c r="D701" s="41"/>
      <c r="E701" s="41">
        <f t="shared" si="1"/>
        <v>0</v>
      </c>
      <c r="F701" s="41"/>
      <c r="G701" s="41"/>
    </row>
    <row r="702">
      <c r="A702" s="41"/>
      <c r="B702" s="41"/>
      <c r="C702" s="41"/>
      <c r="D702" s="41"/>
      <c r="E702" s="41">
        <f t="shared" si="1"/>
        <v>0</v>
      </c>
      <c r="F702" s="41"/>
      <c r="G702" s="41"/>
    </row>
    <row r="703">
      <c r="A703" s="41"/>
      <c r="B703" s="41"/>
      <c r="C703" s="41"/>
      <c r="D703" s="41"/>
      <c r="E703" s="41">
        <f t="shared" si="1"/>
        <v>0</v>
      </c>
      <c r="F703" s="41"/>
      <c r="G703" s="41"/>
    </row>
    <row r="704">
      <c r="A704" s="41"/>
      <c r="B704" s="41"/>
      <c r="C704" s="41"/>
      <c r="D704" s="41"/>
      <c r="E704" s="41">
        <f t="shared" si="1"/>
        <v>0</v>
      </c>
      <c r="F704" s="41"/>
      <c r="G704" s="41"/>
    </row>
    <row r="705">
      <c r="A705" s="41"/>
      <c r="B705" s="41"/>
      <c r="C705" s="41"/>
      <c r="D705" s="41"/>
      <c r="E705" s="41">
        <f t="shared" si="1"/>
        <v>0</v>
      </c>
      <c r="F705" s="41"/>
      <c r="G705" s="41"/>
    </row>
    <row r="706">
      <c r="A706" s="41"/>
      <c r="B706" s="41"/>
      <c r="C706" s="41"/>
      <c r="D706" s="41"/>
      <c r="E706" s="41">
        <f t="shared" si="1"/>
        <v>0</v>
      </c>
      <c r="F706" s="41"/>
      <c r="G706" s="41"/>
    </row>
    <row r="707">
      <c r="A707" s="41"/>
      <c r="B707" s="41"/>
      <c r="C707" s="41"/>
      <c r="D707" s="41"/>
      <c r="E707" s="41">
        <f t="shared" si="1"/>
        <v>0</v>
      </c>
      <c r="F707" s="41"/>
      <c r="G707" s="41"/>
    </row>
    <row r="708">
      <c r="A708" s="41"/>
      <c r="B708" s="41"/>
      <c r="C708" s="41"/>
      <c r="D708" s="41"/>
      <c r="E708" s="41">
        <f t="shared" si="1"/>
        <v>0</v>
      </c>
      <c r="F708" s="41"/>
      <c r="G708" s="41"/>
    </row>
    <row r="709">
      <c r="A709" s="41"/>
      <c r="B709" s="41"/>
      <c r="C709" s="41"/>
      <c r="D709" s="41"/>
      <c r="E709" s="41">
        <f t="shared" si="1"/>
        <v>0</v>
      </c>
      <c r="F709" s="41"/>
      <c r="G709" s="41"/>
    </row>
    <row r="710">
      <c r="A710" s="41"/>
      <c r="B710" s="41"/>
      <c r="C710" s="41"/>
      <c r="D710" s="41"/>
      <c r="E710" s="41">
        <f t="shared" si="1"/>
        <v>0</v>
      </c>
      <c r="F710" s="41"/>
      <c r="G710" s="41"/>
    </row>
    <row r="711">
      <c r="A711" s="41"/>
      <c r="B711" s="41"/>
      <c r="C711" s="41"/>
      <c r="D711" s="41"/>
      <c r="E711" s="41">
        <f t="shared" si="1"/>
        <v>0</v>
      </c>
      <c r="F711" s="41"/>
      <c r="G711" s="41"/>
    </row>
    <row r="712">
      <c r="A712" s="41"/>
      <c r="B712" s="41"/>
      <c r="C712" s="41"/>
      <c r="D712" s="41"/>
      <c r="E712" s="41">
        <f t="shared" si="1"/>
        <v>0</v>
      </c>
      <c r="F712" s="41"/>
      <c r="G712" s="41"/>
    </row>
    <row r="713">
      <c r="A713" s="41"/>
      <c r="B713" s="41"/>
      <c r="C713" s="41"/>
      <c r="D713" s="41"/>
      <c r="E713" s="41">
        <f t="shared" si="1"/>
        <v>0</v>
      </c>
      <c r="F713" s="41"/>
      <c r="G713" s="41"/>
    </row>
    <row r="714">
      <c r="A714" s="41"/>
      <c r="B714" s="41"/>
      <c r="C714" s="41"/>
      <c r="D714" s="41"/>
      <c r="E714" s="41">
        <f t="shared" si="1"/>
        <v>0</v>
      </c>
      <c r="F714" s="41"/>
      <c r="G714" s="41"/>
    </row>
    <row r="715">
      <c r="A715" s="41"/>
      <c r="B715" s="41"/>
      <c r="C715" s="41"/>
      <c r="D715" s="41"/>
      <c r="E715" s="41">
        <f t="shared" si="1"/>
        <v>0</v>
      </c>
      <c r="F715" s="41"/>
      <c r="G715" s="41"/>
    </row>
    <row r="716">
      <c r="A716" s="41"/>
      <c r="B716" s="41"/>
      <c r="C716" s="41"/>
      <c r="D716" s="41"/>
      <c r="E716" s="41">
        <f t="shared" si="1"/>
        <v>0</v>
      </c>
      <c r="F716" s="41"/>
      <c r="G716" s="41"/>
    </row>
    <row r="717">
      <c r="A717" s="41"/>
      <c r="B717" s="41"/>
      <c r="C717" s="41"/>
      <c r="D717" s="41"/>
      <c r="E717" s="41">
        <f t="shared" si="1"/>
        <v>0</v>
      </c>
      <c r="F717" s="41"/>
      <c r="G717" s="41"/>
    </row>
    <row r="718">
      <c r="A718" s="41"/>
      <c r="B718" s="41"/>
      <c r="C718" s="41"/>
      <c r="D718" s="41"/>
      <c r="E718" s="41">
        <f t="shared" si="1"/>
        <v>0</v>
      </c>
      <c r="F718" s="41"/>
      <c r="G718" s="41"/>
    </row>
    <row r="719">
      <c r="A719" s="41"/>
      <c r="B719" s="41"/>
      <c r="C719" s="41"/>
      <c r="D719" s="41"/>
      <c r="E719" s="41">
        <f t="shared" si="1"/>
        <v>0</v>
      </c>
      <c r="F719" s="41"/>
      <c r="G719" s="41"/>
    </row>
    <row r="720">
      <c r="A720" s="41"/>
      <c r="B720" s="41"/>
      <c r="C720" s="41"/>
      <c r="D720" s="41"/>
      <c r="E720" s="41">
        <f t="shared" si="1"/>
        <v>0</v>
      </c>
      <c r="F720" s="41"/>
      <c r="G720" s="41"/>
    </row>
    <row r="721">
      <c r="A721" s="41"/>
      <c r="B721" s="41"/>
      <c r="C721" s="41"/>
      <c r="D721" s="41"/>
      <c r="E721" s="41">
        <f t="shared" si="1"/>
        <v>0</v>
      </c>
      <c r="F721" s="41"/>
      <c r="G721" s="41"/>
    </row>
    <row r="722">
      <c r="A722" s="41"/>
      <c r="B722" s="41"/>
      <c r="C722" s="41"/>
      <c r="D722" s="41"/>
      <c r="E722" s="41">
        <f t="shared" si="1"/>
        <v>0</v>
      </c>
      <c r="F722" s="41"/>
      <c r="G722" s="41"/>
    </row>
    <row r="723">
      <c r="A723" s="41"/>
      <c r="B723" s="41"/>
      <c r="C723" s="41"/>
      <c r="D723" s="41"/>
      <c r="E723" s="41">
        <f t="shared" si="1"/>
        <v>0</v>
      </c>
      <c r="F723" s="41"/>
      <c r="G723" s="41"/>
    </row>
    <row r="724">
      <c r="A724" s="41"/>
      <c r="B724" s="41"/>
      <c r="C724" s="41"/>
      <c r="D724" s="41"/>
      <c r="E724" s="41">
        <f t="shared" si="1"/>
        <v>0</v>
      </c>
      <c r="F724" s="41"/>
      <c r="G724" s="41"/>
    </row>
    <row r="725">
      <c r="A725" s="41"/>
      <c r="B725" s="41"/>
      <c r="C725" s="41"/>
      <c r="D725" s="41"/>
      <c r="E725" s="41">
        <f t="shared" si="1"/>
        <v>0</v>
      </c>
      <c r="F725" s="41"/>
      <c r="G725" s="41"/>
    </row>
    <row r="726">
      <c r="A726" s="41"/>
      <c r="B726" s="41"/>
      <c r="C726" s="41"/>
      <c r="D726" s="41"/>
      <c r="E726" s="41">
        <f t="shared" si="1"/>
        <v>0</v>
      </c>
      <c r="F726" s="41"/>
      <c r="G726" s="41"/>
    </row>
    <row r="727">
      <c r="A727" s="41"/>
      <c r="B727" s="41"/>
      <c r="C727" s="41"/>
      <c r="D727" s="41"/>
      <c r="E727" s="41">
        <f t="shared" si="1"/>
        <v>0</v>
      </c>
      <c r="F727" s="41"/>
      <c r="G727" s="41"/>
    </row>
    <row r="728">
      <c r="A728" s="41"/>
      <c r="B728" s="41"/>
      <c r="C728" s="41"/>
      <c r="D728" s="41"/>
      <c r="E728" s="41">
        <f t="shared" si="1"/>
        <v>0</v>
      </c>
      <c r="F728" s="41"/>
      <c r="G728" s="41"/>
    </row>
    <row r="729">
      <c r="A729" s="41"/>
      <c r="B729" s="41"/>
      <c r="C729" s="41"/>
      <c r="D729" s="41"/>
      <c r="E729" s="41">
        <f t="shared" si="1"/>
        <v>0</v>
      </c>
      <c r="F729" s="41"/>
      <c r="G729" s="41"/>
    </row>
    <row r="730">
      <c r="A730" s="41"/>
      <c r="B730" s="41"/>
      <c r="C730" s="41"/>
      <c r="D730" s="41"/>
      <c r="E730" s="41">
        <f t="shared" si="1"/>
        <v>0</v>
      </c>
      <c r="F730" s="41"/>
      <c r="G730" s="41"/>
    </row>
    <row r="731">
      <c r="A731" s="41"/>
      <c r="B731" s="41"/>
      <c r="C731" s="41"/>
      <c r="D731" s="41"/>
      <c r="E731" s="41">
        <f t="shared" si="1"/>
        <v>0</v>
      </c>
      <c r="F731" s="41"/>
      <c r="G731" s="41"/>
    </row>
    <row r="732">
      <c r="A732" s="41"/>
      <c r="B732" s="41"/>
      <c r="C732" s="41"/>
      <c r="D732" s="41"/>
      <c r="E732" s="41">
        <f t="shared" si="1"/>
        <v>0</v>
      </c>
      <c r="F732" s="41"/>
      <c r="G732" s="41"/>
    </row>
    <row r="733">
      <c r="A733" s="41"/>
      <c r="B733" s="41"/>
      <c r="C733" s="41"/>
      <c r="D733" s="41"/>
      <c r="E733" s="41">
        <f t="shared" si="1"/>
        <v>0</v>
      </c>
      <c r="F733" s="41"/>
      <c r="G733" s="41"/>
    </row>
    <row r="734">
      <c r="A734" s="41"/>
      <c r="B734" s="41"/>
      <c r="C734" s="41"/>
      <c r="D734" s="41"/>
      <c r="E734" s="41">
        <f t="shared" si="1"/>
        <v>0</v>
      </c>
      <c r="F734" s="41"/>
      <c r="G734" s="41"/>
    </row>
    <row r="735">
      <c r="A735" s="41"/>
      <c r="B735" s="41"/>
      <c r="C735" s="41"/>
      <c r="D735" s="41"/>
      <c r="E735" s="41">
        <f t="shared" si="1"/>
        <v>0</v>
      </c>
      <c r="F735" s="41"/>
      <c r="G735" s="41"/>
    </row>
    <row r="736">
      <c r="A736" s="41"/>
      <c r="B736" s="41"/>
      <c r="C736" s="41"/>
      <c r="D736" s="41"/>
      <c r="E736" s="41">
        <f t="shared" si="1"/>
        <v>0</v>
      </c>
      <c r="F736" s="41"/>
      <c r="G736" s="41"/>
    </row>
    <row r="737">
      <c r="A737" s="41"/>
      <c r="B737" s="41"/>
      <c r="C737" s="41"/>
      <c r="D737" s="41"/>
      <c r="E737" s="41">
        <f t="shared" si="1"/>
        <v>0</v>
      </c>
      <c r="F737" s="41"/>
      <c r="G737" s="41"/>
    </row>
    <row r="738">
      <c r="A738" s="41"/>
      <c r="B738" s="41"/>
      <c r="C738" s="41"/>
      <c r="D738" s="41"/>
      <c r="E738" s="41">
        <f t="shared" si="1"/>
        <v>0</v>
      </c>
      <c r="F738" s="41"/>
      <c r="G738" s="41"/>
    </row>
    <row r="739">
      <c r="A739" s="41"/>
      <c r="B739" s="41"/>
      <c r="C739" s="41"/>
      <c r="D739" s="41"/>
      <c r="E739" s="41">
        <f t="shared" si="1"/>
        <v>0</v>
      </c>
      <c r="F739" s="41"/>
      <c r="G739" s="41"/>
    </row>
    <row r="740">
      <c r="A740" s="41"/>
      <c r="B740" s="41"/>
      <c r="C740" s="41"/>
      <c r="D740" s="41"/>
      <c r="E740" s="41">
        <f t="shared" si="1"/>
        <v>0</v>
      </c>
      <c r="F740" s="41"/>
      <c r="G740" s="41"/>
    </row>
    <row r="741">
      <c r="A741" s="41"/>
      <c r="B741" s="41"/>
      <c r="C741" s="41"/>
      <c r="D741" s="41"/>
      <c r="E741" s="41">
        <f t="shared" si="1"/>
        <v>0</v>
      </c>
      <c r="F741" s="41"/>
      <c r="G741" s="41"/>
    </row>
    <row r="742">
      <c r="A742" s="41"/>
      <c r="B742" s="41"/>
      <c r="C742" s="41"/>
      <c r="D742" s="41"/>
      <c r="E742" s="41">
        <f t="shared" si="1"/>
        <v>0</v>
      </c>
      <c r="F742" s="41"/>
      <c r="G742" s="41"/>
    </row>
    <row r="743">
      <c r="A743" s="41"/>
      <c r="B743" s="41"/>
      <c r="C743" s="41"/>
      <c r="D743" s="41"/>
      <c r="E743" s="41">
        <f t="shared" si="1"/>
        <v>0</v>
      </c>
      <c r="F743" s="41"/>
      <c r="G743" s="41"/>
    </row>
    <row r="744">
      <c r="A744" s="41"/>
      <c r="B744" s="41"/>
      <c r="C744" s="41"/>
      <c r="D744" s="41"/>
      <c r="E744" s="41">
        <f t="shared" si="1"/>
        <v>0</v>
      </c>
      <c r="F744" s="41"/>
      <c r="G744" s="41"/>
    </row>
    <row r="745">
      <c r="A745" s="41"/>
      <c r="B745" s="41"/>
      <c r="C745" s="41"/>
      <c r="D745" s="41"/>
      <c r="E745" s="41">
        <f t="shared" si="1"/>
        <v>0</v>
      </c>
      <c r="F745" s="41"/>
      <c r="G745" s="41"/>
    </row>
    <row r="746">
      <c r="A746" s="41"/>
      <c r="B746" s="41"/>
      <c r="C746" s="41"/>
      <c r="D746" s="41"/>
      <c r="E746" s="41">
        <f t="shared" si="1"/>
        <v>0</v>
      </c>
      <c r="F746" s="41"/>
      <c r="G746" s="41"/>
    </row>
    <row r="747">
      <c r="A747" s="41"/>
      <c r="B747" s="41"/>
      <c r="C747" s="41"/>
      <c r="D747" s="41"/>
      <c r="E747" s="41">
        <f t="shared" si="1"/>
        <v>0</v>
      </c>
      <c r="F747" s="41"/>
      <c r="G747" s="41"/>
    </row>
    <row r="748">
      <c r="A748" s="41"/>
      <c r="B748" s="41"/>
      <c r="C748" s="41"/>
      <c r="D748" s="41"/>
      <c r="E748" s="41">
        <f t="shared" si="1"/>
        <v>0</v>
      </c>
      <c r="F748" s="41"/>
      <c r="G748" s="41"/>
    </row>
    <row r="749">
      <c r="A749" s="41"/>
      <c r="B749" s="41"/>
      <c r="C749" s="41"/>
      <c r="D749" s="41"/>
      <c r="E749" s="41">
        <f t="shared" si="1"/>
        <v>0</v>
      </c>
      <c r="F749" s="41"/>
      <c r="G749" s="41"/>
    </row>
    <row r="750">
      <c r="A750" s="41"/>
      <c r="B750" s="41"/>
      <c r="C750" s="41"/>
      <c r="D750" s="41"/>
      <c r="E750" s="41">
        <f t="shared" si="1"/>
        <v>0</v>
      </c>
      <c r="F750" s="41"/>
      <c r="G750" s="41"/>
    </row>
    <row r="751">
      <c r="A751" s="41"/>
      <c r="B751" s="41"/>
      <c r="C751" s="41"/>
      <c r="D751" s="41"/>
      <c r="E751" s="41">
        <f t="shared" si="1"/>
        <v>0</v>
      </c>
      <c r="F751" s="41"/>
      <c r="G751" s="41"/>
    </row>
    <row r="752">
      <c r="A752" s="41"/>
      <c r="B752" s="41"/>
      <c r="C752" s="41"/>
      <c r="D752" s="41"/>
      <c r="E752" s="41">
        <f t="shared" si="1"/>
        <v>0</v>
      </c>
      <c r="F752" s="41"/>
      <c r="G752" s="41"/>
    </row>
    <row r="753">
      <c r="A753" s="41"/>
      <c r="B753" s="41"/>
      <c r="C753" s="41"/>
      <c r="D753" s="41"/>
      <c r="E753" s="41">
        <f t="shared" si="1"/>
        <v>0</v>
      </c>
      <c r="F753" s="41"/>
      <c r="G753" s="41"/>
    </row>
    <row r="754">
      <c r="A754" s="41"/>
      <c r="B754" s="41"/>
      <c r="C754" s="41"/>
      <c r="D754" s="41"/>
      <c r="E754" s="41">
        <f t="shared" si="1"/>
        <v>0</v>
      </c>
      <c r="F754" s="41"/>
      <c r="G754" s="41"/>
    </row>
    <row r="755">
      <c r="A755" s="41"/>
      <c r="B755" s="41"/>
      <c r="C755" s="41"/>
      <c r="D755" s="41"/>
      <c r="E755" s="41">
        <f t="shared" si="1"/>
        <v>0</v>
      </c>
      <c r="F755" s="41"/>
      <c r="G755" s="41"/>
    </row>
    <row r="756">
      <c r="A756" s="41"/>
      <c r="B756" s="41"/>
      <c r="C756" s="41"/>
      <c r="D756" s="41"/>
      <c r="E756" s="41">
        <f t="shared" si="1"/>
        <v>0</v>
      </c>
      <c r="F756" s="41"/>
      <c r="G756" s="41"/>
    </row>
    <row r="757">
      <c r="A757" s="41"/>
      <c r="B757" s="41"/>
      <c r="C757" s="41"/>
      <c r="D757" s="41"/>
      <c r="E757" s="41">
        <f t="shared" si="1"/>
        <v>0</v>
      </c>
      <c r="F757" s="41"/>
      <c r="G757" s="41"/>
    </row>
    <row r="758">
      <c r="A758" s="41"/>
      <c r="B758" s="41"/>
      <c r="C758" s="41"/>
      <c r="D758" s="41"/>
      <c r="E758" s="41">
        <f t="shared" si="1"/>
        <v>0</v>
      </c>
      <c r="F758" s="41"/>
      <c r="G758" s="41"/>
    </row>
    <row r="759">
      <c r="A759" s="41"/>
      <c r="B759" s="41"/>
      <c r="C759" s="41"/>
      <c r="D759" s="41"/>
      <c r="E759" s="41">
        <f t="shared" si="1"/>
        <v>0</v>
      </c>
      <c r="F759" s="41"/>
      <c r="G759" s="41"/>
    </row>
    <row r="760">
      <c r="A760" s="41"/>
      <c r="B760" s="41"/>
      <c r="C760" s="41"/>
      <c r="D760" s="41"/>
      <c r="E760" s="41">
        <f t="shared" si="1"/>
        <v>0</v>
      </c>
      <c r="F760" s="41"/>
      <c r="G760" s="41"/>
    </row>
    <row r="761">
      <c r="A761" s="41"/>
      <c r="B761" s="41"/>
      <c r="C761" s="41"/>
      <c r="D761" s="41"/>
      <c r="E761" s="41">
        <f t="shared" si="1"/>
        <v>0</v>
      </c>
      <c r="F761" s="41"/>
      <c r="G761" s="41"/>
    </row>
    <row r="762">
      <c r="A762" s="41"/>
      <c r="B762" s="41"/>
      <c r="C762" s="41"/>
      <c r="D762" s="41"/>
      <c r="E762" s="41">
        <f t="shared" si="1"/>
        <v>0</v>
      </c>
      <c r="F762" s="41"/>
      <c r="G762" s="41"/>
    </row>
    <row r="763">
      <c r="A763" s="41"/>
      <c r="B763" s="41"/>
      <c r="C763" s="41"/>
      <c r="D763" s="41"/>
      <c r="E763" s="41">
        <f t="shared" si="1"/>
        <v>0</v>
      </c>
      <c r="F763" s="41"/>
      <c r="G763" s="41"/>
    </row>
    <row r="764">
      <c r="A764" s="41"/>
      <c r="B764" s="41"/>
      <c r="C764" s="41"/>
      <c r="D764" s="41"/>
      <c r="E764" s="41">
        <f t="shared" si="1"/>
        <v>0</v>
      </c>
      <c r="F764" s="41"/>
      <c r="G764" s="41"/>
    </row>
    <row r="765">
      <c r="A765" s="41"/>
      <c r="B765" s="41"/>
      <c r="C765" s="41"/>
      <c r="D765" s="41"/>
      <c r="E765" s="41">
        <f t="shared" si="1"/>
        <v>0</v>
      </c>
      <c r="F765" s="41"/>
      <c r="G765" s="41"/>
    </row>
    <row r="766">
      <c r="A766" s="41"/>
      <c r="B766" s="41"/>
      <c r="C766" s="41"/>
      <c r="D766" s="41"/>
      <c r="E766" s="41">
        <f t="shared" si="1"/>
        <v>0</v>
      </c>
      <c r="F766" s="41"/>
      <c r="G766" s="41"/>
    </row>
    <row r="767">
      <c r="A767" s="41"/>
      <c r="B767" s="41"/>
      <c r="C767" s="41"/>
      <c r="D767" s="41"/>
      <c r="E767" s="41">
        <f t="shared" si="1"/>
        <v>0</v>
      </c>
      <c r="F767" s="41"/>
      <c r="G767" s="41"/>
    </row>
    <row r="768">
      <c r="A768" s="41"/>
      <c r="B768" s="41"/>
      <c r="C768" s="41"/>
      <c r="D768" s="41"/>
      <c r="E768" s="41">
        <f t="shared" si="1"/>
        <v>0</v>
      </c>
      <c r="F768" s="41"/>
      <c r="G768" s="41"/>
    </row>
    <row r="769">
      <c r="A769" s="41"/>
      <c r="B769" s="41"/>
      <c r="C769" s="41"/>
      <c r="D769" s="41"/>
      <c r="E769" s="41">
        <f t="shared" si="1"/>
        <v>0</v>
      </c>
      <c r="F769" s="41"/>
      <c r="G769" s="41"/>
    </row>
    <row r="770">
      <c r="A770" s="41"/>
      <c r="B770" s="41"/>
      <c r="C770" s="41"/>
      <c r="D770" s="41"/>
      <c r="E770" s="41">
        <f t="shared" si="1"/>
        <v>0</v>
      </c>
      <c r="F770" s="41"/>
      <c r="G770" s="41"/>
    </row>
    <row r="771">
      <c r="A771" s="41"/>
      <c r="B771" s="41"/>
      <c r="C771" s="41"/>
      <c r="D771" s="41"/>
      <c r="E771" s="41">
        <f t="shared" si="1"/>
        <v>0</v>
      </c>
      <c r="F771" s="41"/>
      <c r="G771" s="41"/>
    </row>
    <row r="772">
      <c r="A772" s="41"/>
      <c r="B772" s="41"/>
      <c r="C772" s="41"/>
      <c r="D772" s="41"/>
      <c r="E772" s="41">
        <f t="shared" si="1"/>
        <v>0</v>
      </c>
      <c r="F772" s="41"/>
      <c r="G772" s="41"/>
    </row>
    <row r="773">
      <c r="A773" s="41"/>
      <c r="B773" s="41"/>
      <c r="C773" s="41"/>
      <c r="D773" s="41"/>
      <c r="E773" s="41">
        <f t="shared" si="1"/>
        <v>0</v>
      </c>
      <c r="F773" s="41"/>
      <c r="G773" s="41"/>
    </row>
    <row r="774">
      <c r="A774" s="41"/>
      <c r="B774" s="41"/>
      <c r="C774" s="41"/>
      <c r="D774" s="41"/>
      <c r="E774" s="41">
        <f t="shared" si="1"/>
        <v>0</v>
      </c>
      <c r="F774" s="41"/>
      <c r="G774" s="41"/>
    </row>
    <row r="775">
      <c r="A775" s="41"/>
      <c r="B775" s="41"/>
      <c r="C775" s="41"/>
      <c r="D775" s="41"/>
      <c r="E775" s="41">
        <f t="shared" si="1"/>
        <v>0</v>
      </c>
      <c r="F775" s="41"/>
      <c r="G775" s="41"/>
    </row>
    <row r="776">
      <c r="A776" s="41"/>
      <c r="B776" s="41"/>
      <c r="C776" s="41"/>
      <c r="D776" s="41"/>
      <c r="E776" s="41">
        <f t="shared" si="1"/>
        <v>0</v>
      </c>
      <c r="F776" s="41"/>
      <c r="G776" s="41"/>
    </row>
    <row r="777">
      <c r="A777" s="41"/>
      <c r="B777" s="41"/>
      <c r="C777" s="41"/>
      <c r="D777" s="41"/>
      <c r="E777" s="41">
        <f t="shared" si="1"/>
        <v>0</v>
      </c>
      <c r="F777" s="41"/>
      <c r="G777" s="41"/>
    </row>
    <row r="778">
      <c r="A778" s="41"/>
      <c r="B778" s="41"/>
      <c r="C778" s="41"/>
      <c r="D778" s="41"/>
      <c r="E778" s="41">
        <f t="shared" si="1"/>
        <v>0</v>
      </c>
      <c r="F778" s="41"/>
      <c r="G778" s="41"/>
    </row>
    <row r="779">
      <c r="A779" s="41"/>
      <c r="B779" s="41"/>
      <c r="C779" s="41"/>
      <c r="D779" s="41"/>
      <c r="E779" s="41">
        <f t="shared" si="1"/>
        <v>0</v>
      </c>
      <c r="F779" s="41"/>
      <c r="G779" s="41"/>
    </row>
    <row r="780">
      <c r="A780" s="41"/>
      <c r="B780" s="41"/>
      <c r="C780" s="41"/>
      <c r="D780" s="41"/>
      <c r="E780" s="41">
        <f t="shared" si="1"/>
        <v>0</v>
      </c>
      <c r="F780" s="41"/>
      <c r="G780" s="41"/>
    </row>
    <row r="781">
      <c r="A781" s="41"/>
      <c r="B781" s="41"/>
      <c r="C781" s="41"/>
      <c r="D781" s="41"/>
      <c r="E781" s="41">
        <f t="shared" si="1"/>
        <v>0</v>
      </c>
      <c r="F781" s="41"/>
      <c r="G781" s="41"/>
    </row>
    <row r="782">
      <c r="A782" s="41"/>
      <c r="B782" s="41"/>
      <c r="C782" s="41"/>
      <c r="D782" s="41"/>
      <c r="E782" s="41">
        <f t="shared" si="1"/>
        <v>0</v>
      </c>
      <c r="F782" s="41"/>
      <c r="G782" s="41"/>
    </row>
    <row r="783">
      <c r="A783" s="41"/>
      <c r="B783" s="41"/>
      <c r="C783" s="41"/>
      <c r="D783" s="41"/>
      <c r="E783" s="41">
        <f t="shared" si="1"/>
        <v>0</v>
      </c>
      <c r="F783" s="41"/>
      <c r="G783" s="41"/>
    </row>
    <row r="784">
      <c r="A784" s="41"/>
      <c r="B784" s="41"/>
      <c r="C784" s="41"/>
      <c r="D784" s="41"/>
      <c r="E784" s="41">
        <f t="shared" si="1"/>
        <v>0</v>
      </c>
      <c r="F784" s="41"/>
      <c r="G784" s="41"/>
    </row>
    <row r="785">
      <c r="A785" s="41"/>
      <c r="B785" s="41"/>
      <c r="C785" s="41"/>
      <c r="D785" s="41"/>
      <c r="E785" s="41">
        <f t="shared" si="1"/>
        <v>0</v>
      </c>
      <c r="F785" s="41"/>
      <c r="G785" s="41"/>
    </row>
    <row r="786">
      <c r="A786" s="41"/>
      <c r="B786" s="41"/>
      <c r="C786" s="41"/>
      <c r="D786" s="41"/>
      <c r="E786" s="41">
        <f t="shared" si="1"/>
        <v>0</v>
      </c>
      <c r="F786" s="41"/>
      <c r="G786" s="41"/>
    </row>
    <row r="787">
      <c r="A787" s="41"/>
      <c r="B787" s="41"/>
      <c r="C787" s="41"/>
      <c r="D787" s="41"/>
      <c r="E787" s="41">
        <f t="shared" si="1"/>
        <v>0</v>
      </c>
      <c r="F787" s="41"/>
      <c r="G787" s="41"/>
    </row>
    <row r="788">
      <c r="A788" s="41"/>
      <c r="B788" s="41"/>
      <c r="C788" s="41"/>
      <c r="D788" s="41"/>
      <c r="E788" s="41">
        <f t="shared" si="1"/>
        <v>0</v>
      </c>
      <c r="F788" s="41"/>
      <c r="G788" s="41"/>
    </row>
    <row r="789">
      <c r="A789" s="41"/>
      <c r="B789" s="41"/>
      <c r="C789" s="41"/>
      <c r="D789" s="41"/>
      <c r="E789" s="41">
        <f t="shared" si="1"/>
        <v>0</v>
      </c>
      <c r="F789" s="41"/>
      <c r="G789" s="41"/>
    </row>
    <row r="790">
      <c r="A790" s="41"/>
      <c r="B790" s="41"/>
      <c r="C790" s="41"/>
      <c r="D790" s="41"/>
      <c r="E790" s="41">
        <f t="shared" si="1"/>
        <v>0</v>
      </c>
      <c r="F790" s="41"/>
      <c r="G790" s="41"/>
    </row>
    <row r="791">
      <c r="A791" s="41"/>
      <c r="B791" s="41"/>
      <c r="C791" s="41"/>
      <c r="D791" s="41"/>
      <c r="E791" s="41">
        <f t="shared" si="1"/>
        <v>0</v>
      </c>
      <c r="F791" s="41"/>
      <c r="G791" s="41"/>
    </row>
    <row r="792">
      <c r="A792" s="41"/>
      <c r="B792" s="41"/>
      <c r="C792" s="41"/>
      <c r="D792" s="41"/>
      <c r="E792" s="41">
        <f t="shared" si="1"/>
        <v>0</v>
      </c>
      <c r="F792" s="41"/>
      <c r="G792" s="41"/>
    </row>
    <row r="793">
      <c r="A793" s="41"/>
      <c r="B793" s="41"/>
      <c r="C793" s="41"/>
      <c r="D793" s="41"/>
      <c r="E793" s="41">
        <f t="shared" si="1"/>
        <v>0</v>
      </c>
      <c r="F793" s="41"/>
      <c r="G793" s="41"/>
    </row>
    <row r="794">
      <c r="A794" s="41"/>
      <c r="B794" s="41"/>
      <c r="C794" s="41"/>
      <c r="D794" s="41"/>
      <c r="E794" s="41">
        <f t="shared" si="1"/>
        <v>0</v>
      </c>
      <c r="F794" s="41"/>
      <c r="G794" s="41"/>
    </row>
    <row r="795">
      <c r="A795" s="41"/>
      <c r="B795" s="41"/>
      <c r="C795" s="41"/>
      <c r="D795" s="41"/>
      <c r="E795" s="41">
        <f t="shared" si="1"/>
        <v>0</v>
      </c>
      <c r="F795" s="41"/>
      <c r="G795" s="41"/>
    </row>
    <row r="796">
      <c r="A796" s="41"/>
      <c r="B796" s="41"/>
      <c r="C796" s="41"/>
      <c r="D796" s="41"/>
      <c r="E796" s="41">
        <f t="shared" si="1"/>
        <v>0</v>
      </c>
      <c r="F796" s="41"/>
      <c r="G796" s="41"/>
    </row>
    <row r="797">
      <c r="A797" s="41"/>
      <c r="B797" s="41"/>
      <c r="C797" s="41"/>
      <c r="D797" s="41"/>
      <c r="E797" s="41">
        <f t="shared" si="1"/>
        <v>0</v>
      </c>
      <c r="F797" s="41"/>
      <c r="G797" s="41"/>
    </row>
    <row r="798">
      <c r="A798" s="41"/>
      <c r="B798" s="41"/>
      <c r="C798" s="41"/>
      <c r="D798" s="41"/>
      <c r="E798" s="41">
        <f t="shared" si="1"/>
        <v>0</v>
      </c>
      <c r="F798" s="41"/>
      <c r="G798" s="41"/>
    </row>
    <row r="799">
      <c r="A799" s="41"/>
      <c r="B799" s="41"/>
      <c r="C799" s="41"/>
      <c r="D799" s="41"/>
      <c r="E799" s="41">
        <f t="shared" si="1"/>
        <v>0</v>
      </c>
      <c r="F799" s="41"/>
      <c r="G799" s="41"/>
    </row>
    <row r="800">
      <c r="A800" s="41"/>
      <c r="B800" s="41"/>
      <c r="C800" s="41"/>
      <c r="D800" s="41"/>
      <c r="E800" s="41">
        <f t="shared" si="1"/>
        <v>0</v>
      </c>
      <c r="F800" s="41"/>
      <c r="G800" s="41"/>
    </row>
    <row r="801">
      <c r="A801" s="41"/>
      <c r="B801" s="41"/>
      <c r="C801" s="41"/>
      <c r="D801" s="41"/>
      <c r="E801" s="41">
        <f t="shared" si="1"/>
        <v>0</v>
      </c>
      <c r="F801" s="41"/>
      <c r="G801" s="41"/>
    </row>
    <row r="802">
      <c r="A802" s="41"/>
      <c r="B802" s="41"/>
      <c r="C802" s="41"/>
      <c r="D802" s="41"/>
      <c r="E802" s="41">
        <f t="shared" si="1"/>
        <v>0</v>
      </c>
      <c r="F802" s="41"/>
      <c r="G802" s="41"/>
    </row>
    <row r="803">
      <c r="A803" s="41"/>
      <c r="B803" s="41"/>
      <c r="C803" s="41"/>
      <c r="D803" s="41"/>
      <c r="E803" s="41">
        <f t="shared" si="1"/>
        <v>0</v>
      </c>
      <c r="F803" s="41"/>
      <c r="G803" s="41"/>
    </row>
    <row r="804">
      <c r="A804" s="41"/>
      <c r="B804" s="41"/>
      <c r="C804" s="41"/>
      <c r="D804" s="41"/>
      <c r="E804" s="41">
        <f t="shared" si="1"/>
        <v>0</v>
      </c>
      <c r="F804" s="41"/>
      <c r="G804" s="41"/>
    </row>
    <row r="805">
      <c r="A805" s="41"/>
      <c r="B805" s="41"/>
      <c r="C805" s="41"/>
      <c r="D805" s="41"/>
      <c r="E805" s="41">
        <f t="shared" si="1"/>
        <v>0</v>
      </c>
      <c r="F805" s="41"/>
      <c r="G805" s="41"/>
    </row>
    <row r="806">
      <c r="A806" s="41"/>
      <c r="B806" s="41"/>
      <c r="C806" s="41"/>
      <c r="D806" s="41"/>
      <c r="E806" s="41">
        <f t="shared" si="1"/>
        <v>0</v>
      </c>
      <c r="F806" s="41"/>
      <c r="G806" s="41"/>
    </row>
    <row r="807">
      <c r="A807" s="41"/>
      <c r="B807" s="41"/>
      <c r="C807" s="41"/>
      <c r="D807" s="41"/>
      <c r="E807" s="41">
        <f t="shared" si="1"/>
        <v>0</v>
      </c>
      <c r="F807" s="41"/>
      <c r="G807" s="41"/>
    </row>
    <row r="808">
      <c r="A808" s="41"/>
      <c r="B808" s="41"/>
      <c r="C808" s="41"/>
      <c r="D808" s="41"/>
      <c r="E808" s="41">
        <f t="shared" si="1"/>
        <v>0</v>
      </c>
      <c r="F808" s="41"/>
      <c r="G808" s="41"/>
    </row>
    <row r="809">
      <c r="A809" s="41"/>
      <c r="B809" s="41"/>
      <c r="C809" s="41"/>
      <c r="D809" s="41"/>
      <c r="E809" s="41">
        <f t="shared" si="1"/>
        <v>0</v>
      </c>
      <c r="F809" s="41"/>
      <c r="G809" s="41"/>
    </row>
    <row r="810">
      <c r="A810" s="41"/>
      <c r="B810" s="41"/>
      <c r="C810" s="41"/>
      <c r="D810" s="41"/>
      <c r="E810" s="41">
        <f t="shared" si="1"/>
        <v>0</v>
      </c>
      <c r="F810" s="41"/>
      <c r="G810" s="41"/>
    </row>
    <row r="811">
      <c r="A811" s="41"/>
      <c r="B811" s="41"/>
      <c r="C811" s="41"/>
      <c r="D811" s="41"/>
      <c r="E811" s="41">
        <f t="shared" si="1"/>
        <v>0</v>
      </c>
      <c r="F811" s="41"/>
      <c r="G811" s="41"/>
    </row>
    <row r="812">
      <c r="A812" s="41"/>
      <c r="B812" s="41"/>
      <c r="C812" s="41"/>
      <c r="D812" s="41"/>
      <c r="E812" s="41">
        <f t="shared" si="1"/>
        <v>0</v>
      </c>
      <c r="F812" s="41"/>
      <c r="G812" s="41"/>
    </row>
    <row r="813">
      <c r="A813" s="41"/>
      <c r="B813" s="41"/>
      <c r="C813" s="41"/>
      <c r="D813" s="41"/>
      <c r="E813" s="41">
        <f t="shared" si="1"/>
        <v>0</v>
      </c>
      <c r="F813" s="41"/>
      <c r="G813" s="41"/>
    </row>
    <row r="814">
      <c r="A814" s="41"/>
      <c r="B814" s="41"/>
      <c r="C814" s="41"/>
      <c r="D814" s="41"/>
      <c r="E814" s="41">
        <f t="shared" si="1"/>
        <v>0</v>
      </c>
      <c r="F814" s="41"/>
      <c r="G814" s="41"/>
    </row>
    <row r="815">
      <c r="A815" s="41"/>
      <c r="B815" s="41"/>
      <c r="C815" s="41"/>
      <c r="D815" s="41"/>
      <c r="E815" s="41">
        <f t="shared" si="1"/>
        <v>0</v>
      </c>
      <c r="F815" s="41"/>
      <c r="G815" s="41"/>
    </row>
    <row r="816">
      <c r="A816" s="41"/>
      <c r="B816" s="41"/>
      <c r="C816" s="41"/>
      <c r="D816" s="41"/>
      <c r="E816" s="41">
        <f t="shared" si="1"/>
        <v>0</v>
      </c>
      <c r="F816" s="41"/>
      <c r="G816" s="41"/>
    </row>
    <row r="817">
      <c r="A817" s="41"/>
      <c r="B817" s="41"/>
      <c r="C817" s="41"/>
      <c r="D817" s="41"/>
      <c r="E817" s="41">
        <f t="shared" si="1"/>
        <v>0</v>
      </c>
      <c r="F817" s="41"/>
      <c r="G817" s="41"/>
    </row>
    <row r="818">
      <c r="A818" s="41"/>
      <c r="B818" s="41"/>
      <c r="C818" s="41"/>
      <c r="D818" s="41"/>
      <c r="E818" s="41">
        <f t="shared" si="1"/>
        <v>0</v>
      </c>
      <c r="F818" s="41"/>
      <c r="G818" s="41"/>
    </row>
    <row r="819">
      <c r="A819" s="41"/>
      <c r="B819" s="41"/>
      <c r="C819" s="41"/>
      <c r="D819" s="41"/>
      <c r="E819" s="41">
        <f t="shared" si="1"/>
        <v>0</v>
      </c>
      <c r="F819" s="41"/>
      <c r="G819" s="41"/>
    </row>
    <row r="820">
      <c r="A820" s="41"/>
      <c r="B820" s="41"/>
      <c r="C820" s="41"/>
      <c r="D820" s="41"/>
      <c r="E820" s="41">
        <f t="shared" si="1"/>
        <v>0</v>
      </c>
      <c r="F820" s="41"/>
      <c r="G820" s="41"/>
    </row>
    <row r="821">
      <c r="A821" s="41"/>
      <c r="B821" s="41"/>
      <c r="C821" s="41"/>
      <c r="D821" s="41"/>
      <c r="E821" s="41">
        <f t="shared" si="1"/>
        <v>0</v>
      </c>
      <c r="F821" s="41"/>
      <c r="G821" s="41"/>
    </row>
    <row r="822">
      <c r="A822" s="41"/>
      <c r="B822" s="41"/>
      <c r="C822" s="41"/>
      <c r="D822" s="41"/>
      <c r="E822" s="41">
        <f t="shared" si="1"/>
        <v>0</v>
      </c>
      <c r="F822" s="41"/>
      <c r="G822" s="41"/>
    </row>
    <row r="823">
      <c r="A823" s="41"/>
      <c r="B823" s="41"/>
      <c r="C823" s="41"/>
      <c r="D823" s="41"/>
      <c r="E823" s="41">
        <f t="shared" si="1"/>
        <v>0</v>
      </c>
      <c r="F823" s="41"/>
      <c r="G823" s="41"/>
    </row>
    <row r="824">
      <c r="A824" s="41"/>
      <c r="B824" s="41"/>
      <c r="C824" s="41"/>
      <c r="D824" s="41"/>
      <c r="E824" s="41">
        <f t="shared" si="1"/>
        <v>0</v>
      </c>
      <c r="F824" s="41"/>
      <c r="G824" s="41"/>
    </row>
    <row r="825">
      <c r="A825" s="41"/>
      <c r="B825" s="41"/>
      <c r="C825" s="41"/>
      <c r="D825" s="41"/>
      <c r="E825" s="41">
        <f t="shared" si="1"/>
        <v>0</v>
      </c>
      <c r="F825" s="41"/>
      <c r="G825" s="41"/>
    </row>
    <row r="826">
      <c r="A826" s="41"/>
      <c r="B826" s="41"/>
      <c r="C826" s="41"/>
      <c r="D826" s="41"/>
      <c r="E826" s="41">
        <f t="shared" si="1"/>
        <v>0</v>
      </c>
      <c r="F826" s="41"/>
      <c r="G826" s="41"/>
    </row>
    <row r="827">
      <c r="A827" s="41"/>
      <c r="B827" s="41"/>
      <c r="C827" s="41"/>
      <c r="D827" s="41"/>
      <c r="E827" s="41">
        <f t="shared" si="1"/>
        <v>0</v>
      </c>
      <c r="F827" s="41"/>
      <c r="G827" s="41"/>
    </row>
    <row r="828">
      <c r="A828" s="41"/>
      <c r="B828" s="41"/>
      <c r="C828" s="41"/>
      <c r="D828" s="41"/>
      <c r="E828" s="41">
        <f t="shared" si="1"/>
        <v>0</v>
      </c>
      <c r="F828" s="41"/>
      <c r="G828" s="41"/>
    </row>
    <row r="829">
      <c r="A829" s="41"/>
      <c r="B829" s="41"/>
      <c r="C829" s="41"/>
      <c r="D829" s="41"/>
      <c r="E829" s="41">
        <f t="shared" si="1"/>
        <v>0</v>
      </c>
      <c r="F829" s="41"/>
      <c r="G829" s="41"/>
    </row>
    <row r="830">
      <c r="A830" s="41"/>
      <c r="B830" s="41"/>
      <c r="C830" s="41"/>
      <c r="D830" s="41"/>
      <c r="E830" s="41">
        <f t="shared" si="1"/>
        <v>0</v>
      </c>
      <c r="F830" s="41"/>
      <c r="G830" s="41"/>
    </row>
    <row r="831">
      <c r="A831" s="41"/>
      <c r="B831" s="41"/>
      <c r="C831" s="41"/>
      <c r="D831" s="41"/>
      <c r="E831" s="41">
        <f t="shared" si="1"/>
        <v>0</v>
      </c>
      <c r="F831" s="41"/>
      <c r="G831" s="41"/>
    </row>
    <row r="832">
      <c r="A832" s="41"/>
      <c r="B832" s="41"/>
      <c r="C832" s="41"/>
      <c r="D832" s="41"/>
      <c r="E832" s="41">
        <f t="shared" si="1"/>
        <v>0</v>
      </c>
      <c r="F832" s="41"/>
      <c r="G832" s="41"/>
    </row>
    <row r="833">
      <c r="A833" s="41"/>
      <c r="B833" s="41"/>
      <c r="C833" s="41"/>
      <c r="D833" s="41"/>
      <c r="E833" s="41">
        <f t="shared" si="1"/>
        <v>0</v>
      </c>
      <c r="F833" s="41"/>
      <c r="G833" s="41"/>
    </row>
    <row r="834">
      <c r="A834" s="41"/>
      <c r="B834" s="41"/>
      <c r="C834" s="41"/>
      <c r="D834" s="41"/>
      <c r="E834" s="41">
        <f t="shared" si="1"/>
        <v>0</v>
      </c>
      <c r="F834" s="41"/>
      <c r="G834" s="41"/>
    </row>
    <row r="835">
      <c r="A835" s="41"/>
      <c r="B835" s="41"/>
      <c r="C835" s="41"/>
      <c r="D835" s="41"/>
      <c r="E835" s="41">
        <f t="shared" si="1"/>
        <v>0</v>
      </c>
      <c r="F835" s="41"/>
      <c r="G835" s="41"/>
    </row>
    <row r="836">
      <c r="A836" s="41"/>
      <c r="B836" s="41"/>
      <c r="C836" s="41"/>
      <c r="D836" s="41"/>
      <c r="E836" s="41">
        <f t="shared" si="1"/>
        <v>0</v>
      </c>
      <c r="F836" s="41"/>
      <c r="G836" s="41"/>
    </row>
    <row r="837">
      <c r="A837" s="41"/>
      <c r="B837" s="41"/>
      <c r="C837" s="41"/>
      <c r="D837" s="41"/>
      <c r="E837" s="41">
        <f t="shared" si="1"/>
        <v>0</v>
      </c>
      <c r="F837" s="41"/>
      <c r="G837" s="41"/>
    </row>
    <row r="838">
      <c r="A838" s="41"/>
      <c r="B838" s="41"/>
      <c r="C838" s="41"/>
      <c r="D838" s="41"/>
      <c r="E838" s="41">
        <f t="shared" si="1"/>
        <v>0</v>
      </c>
      <c r="F838" s="41"/>
      <c r="G838" s="41"/>
    </row>
    <row r="839">
      <c r="A839" s="41"/>
      <c r="B839" s="41"/>
      <c r="C839" s="41"/>
      <c r="D839" s="41"/>
      <c r="E839" s="41">
        <f t="shared" si="1"/>
        <v>0</v>
      </c>
      <c r="F839" s="41"/>
      <c r="G839" s="41"/>
    </row>
    <row r="840">
      <c r="A840" s="41"/>
      <c r="B840" s="41"/>
      <c r="C840" s="41"/>
      <c r="D840" s="41"/>
      <c r="E840" s="41">
        <f t="shared" si="1"/>
        <v>0</v>
      </c>
      <c r="F840" s="41"/>
      <c r="G840" s="41"/>
    </row>
    <row r="841">
      <c r="A841" s="41"/>
      <c r="B841" s="41"/>
      <c r="C841" s="41"/>
      <c r="D841" s="41"/>
      <c r="E841" s="41">
        <f t="shared" si="1"/>
        <v>0</v>
      </c>
      <c r="F841" s="41"/>
      <c r="G841" s="41"/>
    </row>
    <row r="842">
      <c r="A842" s="41"/>
      <c r="B842" s="41"/>
      <c r="C842" s="41"/>
      <c r="D842" s="41"/>
      <c r="E842" s="41">
        <f t="shared" si="1"/>
        <v>0</v>
      </c>
      <c r="F842" s="41"/>
      <c r="G842" s="41"/>
    </row>
    <row r="843">
      <c r="A843" s="41"/>
      <c r="B843" s="41"/>
      <c r="C843" s="41"/>
      <c r="D843" s="41"/>
      <c r="E843" s="41">
        <f t="shared" si="1"/>
        <v>0</v>
      </c>
      <c r="F843" s="41"/>
      <c r="G843" s="41"/>
    </row>
    <row r="844">
      <c r="A844" s="41"/>
      <c r="B844" s="41"/>
      <c r="C844" s="41"/>
      <c r="D844" s="41"/>
      <c r="E844" s="41">
        <f t="shared" si="1"/>
        <v>0</v>
      </c>
      <c r="F844" s="41"/>
      <c r="G844" s="41"/>
    </row>
    <row r="845">
      <c r="A845" s="41"/>
      <c r="B845" s="41"/>
      <c r="C845" s="41"/>
      <c r="D845" s="41"/>
      <c r="E845" s="41">
        <f t="shared" si="1"/>
        <v>0</v>
      </c>
      <c r="F845" s="41"/>
      <c r="G845" s="41"/>
    </row>
    <row r="846">
      <c r="A846" s="41"/>
      <c r="B846" s="41"/>
      <c r="C846" s="41"/>
      <c r="D846" s="41"/>
      <c r="E846" s="41">
        <f t="shared" si="1"/>
        <v>0</v>
      </c>
      <c r="F846" s="41"/>
      <c r="G846" s="41"/>
    </row>
    <row r="847">
      <c r="A847" s="41"/>
      <c r="B847" s="41"/>
      <c r="C847" s="41"/>
      <c r="D847" s="41"/>
      <c r="E847" s="41">
        <f t="shared" si="1"/>
        <v>0</v>
      </c>
      <c r="F847" s="41"/>
      <c r="G847" s="41"/>
    </row>
    <row r="848">
      <c r="A848" s="41"/>
      <c r="B848" s="41"/>
      <c r="C848" s="41"/>
      <c r="D848" s="41"/>
      <c r="E848" s="41">
        <f t="shared" si="1"/>
        <v>0</v>
      </c>
      <c r="F848" s="41"/>
      <c r="G848" s="41"/>
    </row>
    <row r="849">
      <c r="A849" s="41"/>
      <c r="B849" s="41"/>
      <c r="C849" s="41"/>
      <c r="D849" s="41"/>
      <c r="E849" s="41">
        <f t="shared" si="1"/>
        <v>0</v>
      </c>
      <c r="F849" s="41"/>
      <c r="G849" s="41"/>
    </row>
    <row r="850">
      <c r="A850" s="41"/>
      <c r="B850" s="41"/>
      <c r="C850" s="41"/>
      <c r="D850" s="41"/>
      <c r="E850" s="41">
        <f t="shared" si="1"/>
        <v>0</v>
      </c>
      <c r="F850" s="41"/>
      <c r="G850" s="41"/>
    </row>
    <row r="851">
      <c r="A851" s="41"/>
      <c r="B851" s="41"/>
      <c r="C851" s="41"/>
      <c r="D851" s="41"/>
      <c r="E851" s="41">
        <f t="shared" si="1"/>
        <v>0</v>
      </c>
      <c r="F851" s="41"/>
      <c r="G851" s="41"/>
    </row>
    <row r="852">
      <c r="A852" s="41"/>
      <c r="B852" s="41"/>
      <c r="C852" s="41"/>
      <c r="D852" s="41"/>
      <c r="E852" s="41">
        <f t="shared" si="1"/>
        <v>0</v>
      </c>
      <c r="F852" s="41"/>
      <c r="G852" s="41"/>
    </row>
    <row r="853">
      <c r="A853" s="41"/>
      <c r="B853" s="41"/>
      <c r="C853" s="41"/>
      <c r="D853" s="41"/>
      <c r="E853" s="41">
        <f t="shared" si="1"/>
        <v>0</v>
      </c>
      <c r="F853" s="41"/>
      <c r="G853" s="41"/>
    </row>
    <row r="854">
      <c r="A854" s="41"/>
      <c r="B854" s="41"/>
      <c r="C854" s="41"/>
      <c r="D854" s="41"/>
      <c r="E854" s="41">
        <f t="shared" si="1"/>
        <v>0</v>
      </c>
      <c r="F854" s="41"/>
      <c r="G854" s="41"/>
    </row>
    <row r="855">
      <c r="A855" s="41"/>
      <c r="B855" s="41"/>
      <c r="C855" s="41"/>
      <c r="D855" s="41"/>
      <c r="E855" s="41">
        <f t="shared" si="1"/>
        <v>0</v>
      </c>
      <c r="F855" s="41"/>
      <c r="G855" s="41"/>
    </row>
    <row r="856">
      <c r="A856" s="41"/>
      <c r="B856" s="41"/>
      <c r="C856" s="41"/>
      <c r="D856" s="41"/>
      <c r="E856" s="41">
        <f t="shared" si="1"/>
        <v>0</v>
      </c>
      <c r="F856" s="41"/>
      <c r="G856" s="41"/>
    </row>
    <row r="857">
      <c r="A857" s="41"/>
      <c r="B857" s="41"/>
      <c r="C857" s="41"/>
      <c r="D857" s="41"/>
      <c r="E857" s="41">
        <f t="shared" si="1"/>
        <v>0</v>
      </c>
      <c r="F857" s="41"/>
      <c r="G857" s="41"/>
    </row>
    <row r="858">
      <c r="A858" s="41"/>
      <c r="B858" s="41"/>
      <c r="C858" s="41"/>
      <c r="D858" s="41"/>
      <c r="E858" s="41">
        <f t="shared" si="1"/>
        <v>0</v>
      </c>
      <c r="F858" s="41"/>
      <c r="G858" s="41"/>
    </row>
    <row r="859">
      <c r="A859" s="41"/>
      <c r="B859" s="41"/>
      <c r="C859" s="41"/>
      <c r="D859" s="41"/>
      <c r="E859" s="41">
        <f t="shared" si="1"/>
        <v>0</v>
      </c>
      <c r="F859" s="41"/>
      <c r="G859" s="41"/>
    </row>
    <row r="860">
      <c r="A860" s="41"/>
      <c r="B860" s="41"/>
      <c r="C860" s="41"/>
      <c r="D860" s="41"/>
      <c r="E860" s="41">
        <f t="shared" si="1"/>
        <v>0</v>
      </c>
      <c r="F860" s="41"/>
      <c r="G860" s="41"/>
    </row>
    <row r="861">
      <c r="A861" s="41"/>
      <c r="B861" s="41"/>
      <c r="C861" s="41"/>
      <c r="D861" s="41"/>
      <c r="E861" s="41">
        <f t="shared" si="1"/>
        <v>0</v>
      </c>
      <c r="F861" s="41"/>
      <c r="G861" s="41"/>
    </row>
    <row r="862">
      <c r="A862" s="41"/>
      <c r="B862" s="41"/>
      <c r="C862" s="41"/>
      <c r="D862" s="41"/>
      <c r="E862" s="41">
        <f t="shared" si="1"/>
        <v>0</v>
      </c>
      <c r="F862" s="41"/>
      <c r="G862" s="41"/>
    </row>
    <row r="863">
      <c r="A863" s="41"/>
      <c r="B863" s="41"/>
      <c r="C863" s="41"/>
      <c r="D863" s="41"/>
      <c r="E863" s="41">
        <f t="shared" si="1"/>
        <v>0</v>
      </c>
      <c r="F863" s="41"/>
      <c r="G863" s="41"/>
    </row>
    <row r="864">
      <c r="A864" s="41"/>
      <c r="B864" s="41"/>
      <c r="C864" s="41"/>
      <c r="D864" s="41"/>
      <c r="E864" s="41">
        <f t="shared" si="1"/>
        <v>0</v>
      </c>
      <c r="F864" s="41"/>
      <c r="G864" s="41"/>
    </row>
    <row r="865">
      <c r="A865" s="41"/>
      <c r="B865" s="41"/>
      <c r="C865" s="41"/>
      <c r="D865" s="41"/>
      <c r="E865" s="41">
        <f t="shared" si="1"/>
        <v>0</v>
      </c>
      <c r="F865" s="41"/>
      <c r="G865" s="41"/>
    </row>
    <row r="866">
      <c r="A866" s="41"/>
      <c r="B866" s="41"/>
      <c r="C866" s="41"/>
      <c r="D866" s="41"/>
      <c r="E866" s="41">
        <f t="shared" si="1"/>
        <v>0</v>
      </c>
      <c r="F866" s="41"/>
      <c r="G866" s="41"/>
    </row>
    <row r="867">
      <c r="A867" s="41"/>
      <c r="B867" s="41"/>
      <c r="C867" s="41"/>
      <c r="D867" s="41"/>
      <c r="E867" s="41">
        <f t="shared" si="1"/>
        <v>0</v>
      </c>
      <c r="F867" s="41"/>
      <c r="G867" s="41"/>
    </row>
    <row r="868">
      <c r="A868" s="41"/>
      <c r="B868" s="41"/>
      <c r="C868" s="41"/>
      <c r="D868" s="41"/>
      <c r="E868" s="41">
        <f t="shared" si="1"/>
        <v>0</v>
      </c>
      <c r="F868" s="41"/>
      <c r="G868" s="41"/>
    </row>
    <row r="869">
      <c r="A869" s="41"/>
      <c r="B869" s="41"/>
      <c r="C869" s="41"/>
      <c r="D869" s="41"/>
      <c r="E869" s="41">
        <f t="shared" si="1"/>
        <v>0</v>
      </c>
      <c r="F869" s="41"/>
      <c r="G869" s="41"/>
    </row>
    <row r="870">
      <c r="A870" s="41"/>
      <c r="B870" s="41"/>
      <c r="C870" s="41"/>
      <c r="D870" s="41"/>
      <c r="E870" s="41">
        <f t="shared" si="1"/>
        <v>0</v>
      </c>
      <c r="F870" s="41"/>
      <c r="G870" s="41"/>
    </row>
    <row r="871">
      <c r="A871" s="41"/>
      <c r="B871" s="41"/>
      <c r="C871" s="41"/>
      <c r="D871" s="41"/>
      <c r="E871" s="41">
        <f t="shared" si="1"/>
        <v>0</v>
      </c>
      <c r="F871" s="41"/>
      <c r="G871" s="41"/>
    </row>
    <row r="872">
      <c r="A872" s="41"/>
      <c r="B872" s="41"/>
      <c r="C872" s="41"/>
      <c r="D872" s="41"/>
      <c r="E872" s="41">
        <f t="shared" si="1"/>
        <v>0</v>
      </c>
      <c r="F872" s="41"/>
      <c r="G872" s="41"/>
    </row>
    <row r="873">
      <c r="A873" s="41"/>
      <c r="B873" s="41"/>
      <c r="C873" s="41"/>
      <c r="D873" s="41"/>
      <c r="E873" s="41">
        <f t="shared" si="1"/>
        <v>0</v>
      </c>
      <c r="F873" s="41"/>
      <c r="G873" s="41"/>
    </row>
    <row r="874">
      <c r="A874" s="41"/>
      <c r="B874" s="41"/>
      <c r="C874" s="41"/>
      <c r="D874" s="41"/>
      <c r="E874" s="41">
        <f t="shared" si="1"/>
        <v>0</v>
      </c>
      <c r="F874" s="41"/>
      <c r="G874" s="41"/>
    </row>
    <row r="875">
      <c r="A875" s="41"/>
      <c r="B875" s="41"/>
      <c r="C875" s="41"/>
      <c r="D875" s="41"/>
      <c r="E875" s="41">
        <f t="shared" si="1"/>
        <v>0</v>
      </c>
      <c r="F875" s="41"/>
      <c r="G875" s="41"/>
    </row>
    <row r="876">
      <c r="A876" s="41"/>
      <c r="B876" s="41"/>
      <c r="C876" s="41"/>
      <c r="D876" s="41"/>
      <c r="E876" s="41">
        <f t="shared" si="1"/>
        <v>0</v>
      </c>
      <c r="F876" s="41"/>
      <c r="G876" s="41"/>
    </row>
    <row r="877">
      <c r="A877" s="41"/>
      <c r="B877" s="41"/>
      <c r="C877" s="41"/>
      <c r="D877" s="41"/>
      <c r="E877" s="41">
        <f t="shared" si="1"/>
        <v>0</v>
      </c>
      <c r="F877" s="41"/>
      <c r="G877" s="41"/>
    </row>
    <row r="878">
      <c r="A878" s="41"/>
      <c r="B878" s="41"/>
      <c r="C878" s="41"/>
      <c r="D878" s="41"/>
      <c r="E878" s="41">
        <f t="shared" si="1"/>
        <v>0</v>
      </c>
      <c r="F878" s="41"/>
      <c r="G878" s="41"/>
    </row>
    <row r="879">
      <c r="A879" s="41"/>
      <c r="B879" s="41"/>
      <c r="C879" s="41"/>
      <c r="D879" s="41"/>
      <c r="E879" s="41">
        <f t="shared" si="1"/>
        <v>0</v>
      </c>
      <c r="F879" s="41"/>
      <c r="G879" s="41"/>
    </row>
    <row r="880">
      <c r="A880" s="41"/>
      <c r="B880" s="41"/>
      <c r="C880" s="41"/>
      <c r="D880" s="41"/>
      <c r="E880" s="41">
        <f t="shared" si="1"/>
        <v>0</v>
      </c>
      <c r="F880" s="41"/>
      <c r="G880" s="41"/>
    </row>
    <row r="881">
      <c r="A881" s="41"/>
      <c r="B881" s="41"/>
      <c r="C881" s="41"/>
      <c r="D881" s="41"/>
      <c r="E881" s="41">
        <f t="shared" si="1"/>
        <v>0</v>
      </c>
      <c r="F881" s="41"/>
      <c r="G881" s="41"/>
    </row>
    <row r="882">
      <c r="A882" s="41"/>
      <c r="B882" s="41"/>
      <c r="C882" s="41"/>
      <c r="D882" s="41"/>
      <c r="E882" s="41">
        <f t="shared" si="1"/>
        <v>0</v>
      </c>
      <c r="F882" s="41"/>
      <c r="G882" s="41"/>
    </row>
    <row r="883">
      <c r="A883" s="41"/>
      <c r="B883" s="41"/>
      <c r="C883" s="41"/>
      <c r="D883" s="41"/>
      <c r="E883" s="41">
        <f t="shared" si="1"/>
        <v>0</v>
      </c>
      <c r="F883" s="41"/>
      <c r="G883" s="41"/>
    </row>
    <row r="884">
      <c r="A884" s="41"/>
      <c r="B884" s="41"/>
      <c r="C884" s="41"/>
      <c r="D884" s="41"/>
      <c r="E884" s="41">
        <f t="shared" si="1"/>
        <v>0</v>
      </c>
      <c r="F884" s="41"/>
      <c r="G884" s="41"/>
    </row>
    <row r="885">
      <c r="A885" s="41"/>
      <c r="B885" s="41"/>
      <c r="C885" s="41"/>
      <c r="D885" s="41"/>
      <c r="E885" s="41">
        <f t="shared" si="1"/>
        <v>0</v>
      </c>
      <c r="F885" s="41"/>
      <c r="G885" s="41"/>
    </row>
    <row r="886">
      <c r="A886" s="41"/>
      <c r="B886" s="41"/>
      <c r="C886" s="41"/>
      <c r="D886" s="41"/>
      <c r="E886" s="41">
        <f t="shared" si="1"/>
        <v>0</v>
      </c>
      <c r="F886" s="41"/>
      <c r="G886" s="41"/>
    </row>
    <row r="887">
      <c r="A887" s="41"/>
      <c r="B887" s="41"/>
      <c r="C887" s="41"/>
      <c r="D887" s="41"/>
      <c r="E887" s="41">
        <f t="shared" si="1"/>
        <v>0</v>
      </c>
      <c r="F887" s="41"/>
      <c r="G887" s="41"/>
    </row>
    <row r="888">
      <c r="A888" s="41"/>
      <c r="B888" s="41"/>
      <c r="C888" s="41"/>
      <c r="D888" s="41"/>
      <c r="E888" s="41">
        <f t="shared" si="1"/>
        <v>0</v>
      </c>
      <c r="F888" s="41"/>
      <c r="G888" s="41"/>
    </row>
    <row r="889">
      <c r="A889" s="41"/>
      <c r="B889" s="41"/>
      <c r="C889" s="41"/>
      <c r="D889" s="41"/>
      <c r="E889" s="41">
        <f t="shared" si="1"/>
        <v>0</v>
      </c>
      <c r="F889" s="41"/>
      <c r="G889" s="41"/>
    </row>
    <row r="890">
      <c r="A890" s="41"/>
      <c r="B890" s="41"/>
      <c r="C890" s="41"/>
      <c r="D890" s="41"/>
      <c r="E890" s="41">
        <f t="shared" si="1"/>
        <v>0</v>
      </c>
      <c r="F890" s="41"/>
      <c r="G890" s="41"/>
    </row>
    <row r="891">
      <c r="A891" s="41"/>
      <c r="B891" s="41"/>
      <c r="C891" s="41"/>
      <c r="D891" s="41"/>
      <c r="E891" s="41">
        <f t="shared" si="1"/>
        <v>0</v>
      </c>
      <c r="F891" s="41"/>
      <c r="G891" s="41"/>
    </row>
    <row r="892">
      <c r="A892" s="41"/>
      <c r="B892" s="41"/>
      <c r="C892" s="41"/>
      <c r="D892" s="41"/>
      <c r="E892" s="41">
        <f t="shared" si="1"/>
        <v>0</v>
      </c>
      <c r="F892" s="41"/>
      <c r="G892" s="41"/>
    </row>
    <row r="893">
      <c r="A893" s="41"/>
      <c r="B893" s="41"/>
      <c r="C893" s="41"/>
      <c r="D893" s="41"/>
      <c r="E893" s="41">
        <f t="shared" si="1"/>
        <v>0</v>
      </c>
      <c r="F893" s="41"/>
      <c r="G893" s="41"/>
    </row>
    <row r="894">
      <c r="A894" s="41"/>
      <c r="B894" s="41"/>
      <c r="C894" s="41"/>
      <c r="D894" s="41"/>
      <c r="E894" s="41">
        <f t="shared" si="1"/>
        <v>0</v>
      </c>
      <c r="F894" s="41"/>
      <c r="G894" s="41"/>
    </row>
    <row r="895">
      <c r="A895" s="41"/>
      <c r="B895" s="41"/>
      <c r="C895" s="41"/>
      <c r="D895" s="41"/>
      <c r="E895" s="41">
        <f t="shared" si="1"/>
        <v>0</v>
      </c>
      <c r="F895" s="41"/>
      <c r="G895" s="41"/>
    </row>
    <row r="896">
      <c r="A896" s="41"/>
      <c r="B896" s="41"/>
      <c r="C896" s="41"/>
      <c r="D896" s="41"/>
      <c r="E896" s="41">
        <f t="shared" si="1"/>
        <v>0</v>
      </c>
      <c r="F896" s="41"/>
      <c r="G896" s="41"/>
    </row>
    <row r="897">
      <c r="A897" s="41"/>
      <c r="B897" s="41"/>
      <c r="C897" s="41"/>
      <c r="D897" s="41"/>
      <c r="E897" s="41">
        <f t="shared" si="1"/>
        <v>0</v>
      </c>
      <c r="F897" s="41"/>
      <c r="G897" s="41"/>
    </row>
    <row r="898">
      <c r="A898" s="41"/>
      <c r="B898" s="41"/>
      <c r="C898" s="41"/>
      <c r="D898" s="41"/>
      <c r="E898" s="41">
        <f t="shared" si="1"/>
        <v>0</v>
      </c>
      <c r="F898" s="41"/>
      <c r="G898" s="41"/>
    </row>
    <row r="899">
      <c r="A899" s="41"/>
      <c r="B899" s="41"/>
      <c r="C899" s="41"/>
      <c r="D899" s="41"/>
      <c r="E899" s="41">
        <f t="shared" si="1"/>
        <v>0</v>
      </c>
      <c r="F899" s="41"/>
      <c r="G899" s="41"/>
    </row>
    <row r="900">
      <c r="A900" s="41"/>
      <c r="B900" s="41"/>
      <c r="C900" s="41"/>
      <c r="D900" s="41"/>
      <c r="E900" s="41">
        <f t="shared" si="1"/>
        <v>0</v>
      </c>
      <c r="F900" s="41"/>
      <c r="G900" s="41"/>
    </row>
    <row r="901">
      <c r="A901" s="41"/>
      <c r="B901" s="41"/>
      <c r="C901" s="41"/>
      <c r="D901" s="41"/>
      <c r="E901" s="41">
        <f t="shared" si="1"/>
        <v>0</v>
      </c>
      <c r="F901" s="41"/>
      <c r="G901" s="41"/>
    </row>
    <row r="902">
      <c r="A902" s="41"/>
      <c r="B902" s="41"/>
      <c r="C902" s="41"/>
      <c r="D902" s="41"/>
      <c r="E902" s="41">
        <f t="shared" si="1"/>
        <v>0</v>
      </c>
      <c r="F902" s="41"/>
      <c r="G902" s="41"/>
    </row>
    <row r="903">
      <c r="A903" s="41"/>
      <c r="B903" s="41"/>
      <c r="C903" s="41"/>
      <c r="D903" s="41"/>
      <c r="E903" s="41">
        <f t="shared" si="1"/>
        <v>0</v>
      </c>
      <c r="F903" s="41"/>
      <c r="G903" s="41"/>
    </row>
    <row r="904">
      <c r="A904" s="41"/>
      <c r="B904" s="41"/>
      <c r="C904" s="41"/>
      <c r="D904" s="41"/>
      <c r="E904" s="41">
        <f t="shared" si="1"/>
        <v>0</v>
      </c>
      <c r="F904" s="41"/>
      <c r="G904" s="41"/>
    </row>
    <row r="905">
      <c r="A905" s="41"/>
      <c r="B905" s="41"/>
      <c r="C905" s="41"/>
      <c r="D905" s="41"/>
      <c r="E905" s="41">
        <f t="shared" si="1"/>
        <v>0</v>
      </c>
      <c r="F905" s="41"/>
      <c r="G905" s="41"/>
    </row>
    <row r="906">
      <c r="A906" s="41"/>
      <c r="B906" s="41"/>
      <c r="C906" s="41"/>
      <c r="D906" s="41"/>
      <c r="E906" s="41">
        <f t="shared" si="1"/>
        <v>0</v>
      </c>
      <c r="F906" s="41"/>
      <c r="G906" s="41"/>
    </row>
    <row r="907">
      <c r="A907" s="41"/>
      <c r="B907" s="41"/>
      <c r="C907" s="41"/>
      <c r="D907" s="41"/>
      <c r="E907" s="41">
        <f t="shared" si="1"/>
        <v>0</v>
      </c>
      <c r="F907" s="41"/>
      <c r="G907" s="41"/>
    </row>
    <row r="908">
      <c r="A908" s="41"/>
      <c r="B908" s="41"/>
      <c r="C908" s="41"/>
      <c r="D908" s="41"/>
      <c r="E908" s="41">
        <f t="shared" si="1"/>
        <v>0</v>
      </c>
      <c r="F908" s="41"/>
      <c r="G908" s="41"/>
    </row>
    <row r="909">
      <c r="A909" s="41"/>
      <c r="B909" s="41"/>
      <c r="C909" s="41"/>
      <c r="D909" s="41"/>
      <c r="E909" s="41">
        <f t="shared" si="1"/>
        <v>0</v>
      </c>
      <c r="F909" s="41"/>
      <c r="G909" s="41"/>
    </row>
    <row r="910">
      <c r="A910" s="41"/>
      <c r="B910" s="41"/>
      <c r="C910" s="41"/>
      <c r="D910" s="41"/>
      <c r="E910" s="41">
        <f t="shared" si="1"/>
        <v>0</v>
      </c>
      <c r="F910" s="41"/>
      <c r="G910" s="41"/>
    </row>
    <row r="911">
      <c r="A911" s="41"/>
      <c r="B911" s="41"/>
      <c r="C911" s="41"/>
      <c r="D911" s="41"/>
      <c r="E911" s="41">
        <f t="shared" si="1"/>
        <v>0</v>
      </c>
      <c r="F911" s="41"/>
      <c r="G911" s="41"/>
    </row>
    <row r="912">
      <c r="A912" s="41"/>
      <c r="B912" s="41"/>
      <c r="C912" s="41"/>
      <c r="D912" s="41"/>
      <c r="E912" s="41">
        <f t="shared" si="1"/>
        <v>0</v>
      </c>
      <c r="F912" s="41"/>
      <c r="G912" s="41"/>
    </row>
    <row r="913">
      <c r="A913" s="41"/>
      <c r="B913" s="41"/>
      <c r="C913" s="41"/>
      <c r="D913" s="41"/>
      <c r="E913" s="41">
        <f t="shared" si="1"/>
        <v>0</v>
      </c>
      <c r="F913" s="41"/>
      <c r="G913" s="41"/>
    </row>
    <row r="914">
      <c r="A914" s="41"/>
      <c r="B914" s="41"/>
      <c r="C914" s="41"/>
      <c r="D914" s="41"/>
      <c r="E914" s="41">
        <f t="shared" si="1"/>
        <v>0</v>
      </c>
      <c r="F914" s="41"/>
      <c r="G914" s="41"/>
    </row>
    <row r="915">
      <c r="A915" s="41"/>
      <c r="B915" s="41"/>
      <c r="C915" s="41"/>
      <c r="D915" s="41"/>
      <c r="E915" s="41">
        <f t="shared" si="1"/>
        <v>0</v>
      </c>
      <c r="F915" s="41"/>
      <c r="G915" s="41"/>
    </row>
    <row r="916">
      <c r="A916" s="41"/>
      <c r="B916" s="41"/>
      <c r="C916" s="41"/>
      <c r="D916" s="41"/>
      <c r="E916" s="41">
        <f t="shared" si="1"/>
        <v>0</v>
      </c>
      <c r="F916" s="41"/>
      <c r="G916" s="41"/>
    </row>
    <row r="917">
      <c r="A917" s="41"/>
      <c r="B917" s="41"/>
      <c r="C917" s="41"/>
      <c r="D917" s="41"/>
      <c r="E917" s="41">
        <f t="shared" si="1"/>
        <v>0</v>
      </c>
      <c r="F917" s="41"/>
      <c r="G917" s="41"/>
    </row>
    <row r="918">
      <c r="A918" s="41"/>
      <c r="B918" s="41"/>
      <c r="C918" s="41"/>
      <c r="D918" s="41"/>
      <c r="E918" s="41">
        <f t="shared" si="1"/>
        <v>0</v>
      </c>
      <c r="F918" s="41"/>
      <c r="G918" s="41"/>
    </row>
    <row r="919">
      <c r="A919" s="41"/>
      <c r="B919" s="41"/>
      <c r="C919" s="41"/>
      <c r="D919" s="41"/>
      <c r="E919" s="41">
        <f t="shared" si="1"/>
        <v>0</v>
      </c>
      <c r="F919" s="41"/>
      <c r="G919" s="41"/>
    </row>
    <row r="920">
      <c r="A920" s="41"/>
      <c r="B920" s="41"/>
      <c r="C920" s="41"/>
      <c r="D920" s="41"/>
      <c r="E920" s="41">
        <f t="shared" si="1"/>
        <v>0</v>
      </c>
      <c r="F920" s="41"/>
      <c r="G920" s="41"/>
    </row>
    <row r="921">
      <c r="A921" s="41"/>
      <c r="B921" s="41"/>
      <c r="C921" s="41"/>
      <c r="D921" s="41"/>
      <c r="E921" s="41">
        <f t="shared" si="1"/>
        <v>0</v>
      </c>
      <c r="F921" s="41"/>
      <c r="G921" s="41"/>
    </row>
    <row r="922">
      <c r="A922" s="41"/>
      <c r="B922" s="41"/>
      <c r="C922" s="41"/>
      <c r="D922" s="41"/>
      <c r="E922" s="41">
        <f t="shared" si="1"/>
        <v>0</v>
      </c>
      <c r="F922" s="41"/>
      <c r="G922" s="41"/>
    </row>
    <row r="923">
      <c r="A923" s="41"/>
      <c r="B923" s="41"/>
      <c r="C923" s="41"/>
      <c r="D923" s="41"/>
      <c r="E923" s="41">
        <f t="shared" si="1"/>
        <v>0</v>
      </c>
      <c r="F923" s="41"/>
      <c r="G923" s="41"/>
    </row>
    <row r="924">
      <c r="A924" s="41"/>
      <c r="B924" s="41"/>
      <c r="C924" s="41"/>
      <c r="D924" s="41"/>
      <c r="E924" s="41">
        <f t="shared" si="1"/>
        <v>0</v>
      </c>
      <c r="F924" s="41"/>
      <c r="G924" s="41"/>
    </row>
    <row r="925">
      <c r="A925" s="41"/>
      <c r="B925" s="41"/>
      <c r="C925" s="41"/>
      <c r="D925" s="41"/>
      <c r="E925" s="41">
        <f t="shared" si="1"/>
        <v>0</v>
      </c>
      <c r="F925" s="41"/>
      <c r="G925" s="41"/>
    </row>
    <row r="926">
      <c r="A926" s="41"/>
      <c r="B926" s="41"/>
      <c r="C926" s="41"/>
      <c r="D926" s="41"/>
      <c r="E926" s="41">
        <f t="shared" si="1"/>
        <v>0</v>
      </c>
      <c r="F926" s="41"/>
      <c r="G926" s="41"/>
    </row>
    <row r="927">
      <c r="A927" s="41"/>
      <c r="B927" s="41"/>
      <c r="C927" s="41"/>
      <c r="D927" s="41"/>
      <c r="E927" s="41">
        <f t="shared" si="1"/>
        <v>0</v>
      </c>
      <c r="F927" s="41"/>
      <c r="G927" s="41"/>
    </row>
    <row r="928">
      <c r="A928" s="41"/>
      <c r="B928" s="41"/>
      <c r="C928" s="41"/>
      <c r="D928" s="41"/>
      <c r="E928" s="41">
        <f t="shared" si="1"/>
        <v>0</v>
      </c>
      <c r="F928" s="41"/>
      <c r="G928" s="41"/>
    </row>
    <row r="929">
      <c r="A929" s="41"/>
      <c r="B929" s="41"/>
      <c r="C929" s="41"/>
      <c r="D929" s="41"/>
      <c r="E929" s="41">
        <f t="shared" si="1"/>
        <v>0</v>
      </c>
      <c r="F929" s="41"/>
      <c r="G929" s="41"/>
    </row>
    <row r="930">
      <c r="A930" s="41"/>
      <c r="B930" s="41"/>
      <c r="C930" s="41"/>
      <c r="D930" s="41"/>
      <c r="E930" s="41">
        <f t="shared" si="1"/>
        <v>0</v>
      </c>
      <c r="F930" s="41"/>
      <c r="G930" s="41"/>
    </row>
    <row r="931">
      <c r="A931" s="41"/>
      <c r="B931" s="41"/>
      <c r="C931" s="41"/>
      <c r="D931" s="41"/>
      <c r="E931" s="41">
        <f t="shared" si="1"/>
        <v>0</v>
      </c>
      <c r="F931" s="41"/>
      <c r="G931" s="41"/>
    </row>
    <row r="932">
      <c r="A932" s="41"/>
      <c r="B932" s="41"/>
      <c r="C932" s="41"/>
      <c r="D932" s="41"/>
      <c r="E932" s="41">
        <f t="shared" si="1"/>
        <v>0</v>
      </c>
      <c r="F932" s="41"/>
      <c r="G932" s="41"/>
    </row>
    <row r="933">
      <c r="A933" s="41"/>
      <c r="B933" s="41"/>
      <c r="C933" s="41"/>
      <c r="D933" s="41"/>
      <c r="E933" s="41">
        <f t="shared" si="1"/>
        <v>0</v>
      </c>
      <c r="F933" s="41"/>
      <c r="G933" s="41"/>
    </row>
    <row r="934">
      <c r="A934" s="41"/>
      <c r="B934" s="41"/>
      <c r="C934" s="41"/>
      <c r="D934" s="41"/>
      <c r="E934" s="41">
        <f t="shared" si="1"/>
        <v>0</v>
      </c>
      <c r="F934" s="41"/>
      <c r="G934" s="41"/>
    </row>
    <row r="935">
      <c r="A935" s="41"/>
      <c r="B935" s="41"/>
      <c r="C935" s="41"/>
      <c r="D935" s="41"/>
      <c r="E935" s="41">
        <f t="shared" si="1"/>
        <v>0</v>
      </c>
      <c r="F935" s="41"/>
      <c r="G935" s="41"/>
    </row>
    <row r="936">
      <c r="A936" s="41"/>
      <c r="B936" s="41"/>
      <c r="C936" s="41"/>
      <c r="D936" s="41"/>
      <c r="E936" s="41">
        <f t="shared" si="1"/>
        <v>0</v>
      </c>
      <c r="F936" s="41"/>
      <c r="G936" s="41"/>
    </row>
    <row r="937">
      <c r="A937" s="41"/>
      <c r="B937" s="41"/>
      <c r="C937" s="41"/>
      <c r="D937" s="41"/>
      <c r="E937" s="41">
        <f t="shared" si="1"/>
        <v>0</v>
      </c>
      <c r="F937" s="41"/>
      <c r="G937" s="41"/>
    </row>
    <row r="938">
      <c r="A938" s="41"/>
      <c r="B938" s="41"/>
      <c r="C938" s="41"/>
      <c r="D938" s="41"/>
      <c r="E938" s="41">
        <f t="shared" si="1"/>
        <v>0</v>
      </c>
      <c r="F938" s="41"/>
      <c r="G938" s="41"/>
    </row>
    <row r="939">
      <c r="A939" s="41"/>
      <c r="B939" s="41"/>
      <c r="C939" s="41"/>
      <c r="D939" s="41"/>
      <c r="E939" s="41">
        <f t="shared" si="1"/>
        <v>0</v>
      </c>
      <c r="F939" s="41"/>
      <c r="G939" s="41"/>
    </row>
    <row r="940">
      <c r="A940" s="41"/>
      <c r="B940" s="41"/>
      <c r="C940" s="41"/>
      <c r="D940" s="41"/>
      <c r="E940" s="41">
        <f t="shared" si="1"/>
        <v>0</v>
      </c>
      <c r="F940" s="41"/>
      <c r="G940" s="41"/>
    </row>
    <row r="941">
      <c r="A941" s="41"/>
      <c r="B941" s="41"/>
      <c r="C941" s="41"/>
      <c r="D941" s="41"/>
      <c r="E941" s="41">
        <f t="shared" si="1"/>
        <v>0</v>
      </c>
      <c r="F941" s="41"/>
      <c r="G941" s="41"/>
    </row>
    <row r="942">
      <c r="A942" s="41"/>
      <c r="B942" s="41"/>
      <c r="C942" s="41"/>
      <c r="D942" s="41"/>
      <c r="E942" s="41">
        <f t="shared" si="1"/>
        <v>0</v>
      </c>
      <c r="F942" s="41"/>
      <c r="G942" s="41"/>
    </row>
    <row r="943">
      <c r="A943" s="41"/>
      <c r="B943" s="41"/>
      <c r="C943" s="41"/>
      <c r="D943" s="41"/>
      <c r="E943" s="41">
        <f t="shared" si="1"/>
        <v>0</v>
      </c>
      <c r="F943" s="41"/>
      <c r="G943" s="41"/>
    </row>
    <row r="944">
      <c r="A944" s="41"/>
      <c r="B944" s="41"/>
      <c r="C944" s="41"/>
      <c r="D944" s="41"/>
      <c r="E944" s="41">
        <f t="shared" si="1"/>
        <v>0</v>
      </c>
      <c r="F944" s="41"/>
      <c r="G944" s="41"/>
    </row>
    <row r="945">
      <c r="A945" s="41"/>
      <c r="B945" s="41"/>
      <c r="C945" s="41"/>
      <c r="D945" s="41"/>
      <c r="E945" s="41">
        <f t="shared" si="1"/>
        <v>0</v>
      </c>
      <c r="F945" s="41"/>
      <c r="G945" s="41"/>
    </row>
    <row r="946">
      <c r="A946" s="41"/>
      <c r="B946" s="41"/>
      <c r="C946" s="41"/>
      <c r="D946" s="41"/>
      <c r="E946" s="41">
        <f t="shared" si="1"/>
        <v>0</v>
      </c>
      <c r="F946" s="41"/>
      <c r="G946" s="41"/>
    </row>
    <row r="947">
      <c r="A947" s="41"/>
      <c r="B947" s="41"/>
      <c r="C947" s="41"/>
      <c r="D947" s="41"/>
      <c r="E947" s="41">
        <f t="shared" si="1"/>
        <v>0</v>
      </c>
      <c r="F947" s="41"/>
      <c r="G947" s="41"/>
    </row>
    <row r="948">
      <c r="A948" s="41"/>
      <c r="B948" s="41"/>
      <c r="C948" s="41"/>
      <c r="D948" s="41"/>
      <c r="E948" s="41">
        <f t="shared" si="1"/>
        <v>0</v>
      </c>
      <c r="F948" s="41"/>
      <c r="G948" s="41"/>
    </row>
    <row r="949">
      <c r="A949" s="41"/>
      <c r="B949" s="41"/>
      <c r="C949" s="41"/>
      <c r="D949" s="41"/>
      <c r="E949" s="41">
        <f t="shared" si="1"/>
        <v>0</v>
      </c>
      <c r="F949" s="41"/>
      <c r="G949" s="41"/>
    </row>
    <row r="950">
      <c r="A950" s="41"/>
      <c r="B950" s="41"/>
      <c r="C950" s="41"/>
      <c r="D950" s="41"/>
      <c r="E950" s="41">
        <f t="shared" si="1"/>
        <v>0</v>
      </c>
      <c r="F950" s="41"/>
      <c r="G950" s="41"/>
    </row>
    <row r="951">
      <c r="A951" s="41"/>
      <c r="B951" s="41"/>
      <c r="C951" s="41"/>
      <c r="D951" s="41"/>
      <c r="E951" s="41">
        <f t="shared" si="1"/>
        <v>0</v>
      </c>
      <c r="F951" s="41"/>
      <c r="G951" s="41"/>
    </row>
    <row r="952">
      <c r="A952" s="41"/>
      <c r="B952" s="41"/>
      <c r="C952" s="41"/>
      <c r="D952" s="41"/>
      <c r="E952" s="41">
        <f t="shared" si="1"/>
        <v>0</v>
      </c>
      <c r="F952" s="41"/>
      <c r="G952" s="41"/>
    </row>
    <row r="953">
      <c r="A953" s="41"/>
      <c r="B953" s="41"/>
      <c r="C953" s="41"/>
      <c r="D953" s="41"/>
      <c r="E953" s="41">
        <f t="shared" si="1"/>
        <v>0</v>
      </c>
      <c r="F953" s="41"/>
      <c r="G953" s="41"/>
    </row>
    <row r="954">
      <c r="A954" s="41"/>
      <c r="B954" s="41"/>
      <c r="C954" s="41"/>
      <c r="D954" s="41"/>
      <c r="E954" s="41">
        <f t="shared" si="1"/>
        <v>0</v>
      </c>
      <c r="F954" s="41"/>
      <c r="G954" s="41"/>
    </row>
    <row r="955">
      <c r="A955" s="41"/>
      <c r="B955" s="41"/>
      <c r="C955" s="41"/>
      <c r="D955" s="41"/>
      <c r="E955" s="41">
        <f t="shared" si="1"/>
        <v>0</v>
      </c>
      <c r="F955" s="41"/>
      <c r="G955" s="41"/>
    </row>
    <row r="956">
      <c r="A956" s="41"/>
      <c r="B956" s="41"/>
      <c r="C956" s="41"/>
      <c r="D956" s="41"/>
      <c r="E956" s="41">
        <f t="shared" si="1"/>
        <v>0</v>
      </c>
      <c r="F956" s="41"/>
      <c r="G956" s="41"/>
    </row>
    <row r="957">
      <c r="A957" s="41"/>
      <c r="B957" s="41"/>
      <c r="C957" s="41"/>
      <c r="D957" s="41"/>
      <c r="E957" s="41">
        <f t="shared" si="1"/>
        <v>0</v>
      </c>
      <c r="F957" s="41"/>
      <c r="G957" s="41"/>
    </row>
    <row r="958">
      <c r="A958" s="41"/>
      <c r="B958" s="41"/>
      <c r="C958" s="41"/>
      <c r="D958" s="41"/>
      <c r="E958" s="41">
        <f t="shared" si="1"/>
        <v>0</v>
      </c>
      <c r="F958" s="41"/>
      <c r="G958" s="41"/>
    </row>
    <row r="959">
      <c r="A959" s="41"/>
      <c r="B959" s="41"/>
      <c r="C959" s="41"/>
      <c r="D959" s="41"/>
      <c r="E959" s="41">
        <f t="shared" si="1"/>
        <v>0</v>
      </c>
      <c r="F959" s="41"/>
      <c r="G959" s="41"/>
    </row>
    <row r="960">
      <c r="A960" s="41"/>
      <c r="B960" s="41"/>
      <c r="C960" s="41"/>
      <c r="D960" s="41"/>
      <c r="E960" s="41">
        <f t="shared" si="1"/>
        <v>0</v>
      </c>
      <c r="F960" s="41"/>
      <c r="G960" s="41"/>
    </row>
    <row r="961">
      <c r="A961" s="41"/>
      <c r="B961" s="41"/>
      <c r="C961" s="41"/>
      <c r="D961" s="41"/>
      <c r="E961" s="41">
        <f t="shared" si="1"/>
        <v>0</v>
      </c>
      <c r="F961" s="41"/>
      <c r="G961" s="41"/>
    </row>
    <row r="962">
      <c r="A962" s="41"/>
      <c r="B962" s="41"/>
      <c r="C962" s="41"/>
      <c r="D962" s="41"/>
      <c r="E962" s="41">
        <f t="shared" si="1"/>
        <v>0</v>
      </c>
      <c r="F962" s="41"/>
      <c r="G962" s="41"/>
    </row>
    <row r="963">
      <c r="A963" s="41"/>
      <c r="B963" s="41"/>
      <c r="C963" s="41"/>
      <c r="D963" s="41"/>
      <c r="E963" s="41">
        <f t="shared" si="1"/>
        <v>0</v>
      </c>
      <c r="F963" s="41"/>
      <c r="G963" s="41"/>
    </row>
    <row r="964">
      <c r="A964" s="41"/>
      <c r="B964" s="41"/>
      <c r="C964" s="41"/>
      <c r="D964" s="41"/>
      <c r="E964" s="41">
        <f t="shared" si="1"/>
        <v>0</v>
      </c>
      <c r="F964" s="41"/>
      <c r="G964" s="41"/>
    </row>
    <row r="965">
      <c r="A965" s="41"/>
      <c r="B965" s="41"/>
      <c r="C965" s="41"/>
      <c r="D965" s="41"/>
      <c r="E965" s="41">
        <f t="shared" si="1"/>
        <v>0</v>
      </c>
      <c r="F965" s="41"/>
      <c r="G965" s="41"/>
    </row>
    <row r="966">
      <c r="A966" s="41"/>
      <c r="B966" s="41"/>
      <c r="C966" s="41"/>
      <c r="D966" s="41"/>
      <c r="E966" s="41">
        <f t="shared" si="1"/>
        <v>0</v>
      </c>
      <c r="F966" s="41"/>
      <c r="G966" s="41"/>
    </row>
    <row r="967">
      <c r="A967" s="41"/>
      <c r="B967" s="41"/>
      <c r="C967" s="41"/>
      <c r="D967" s="41"/>
      <c r="E967" s="41">
        <f t="shared" si="1"/>
        <v>0</v>
      </c>
      <c r="F967" s="41"/>
      <c r="G967" s="41"/>
    </row>
    <row r="968">
      <c r="A968" s="41"/>
      <c r="B968" s="41"/>
      <c r="C968" s="41"/>
      <c r="D968" s="41"/>
      <c r="E968" s="41">
        <f t="shared" si="1"/>
        <v>0</v>
      </c>
      <c r="F968" s="41"/>
      <c r="G968" s="41"/>
    </row>
    <row r="969">
      <c r="A969" s="41"/>
      <c r="B969" s="41"/>
      <c r="C969" s="41"/>
      <c r="D969" s="41"/>
      <c r="E969" s="41">
        <f t="shared" si="1"/>
        <v>0</v>
      </c>
      <c r="F969" s="41"/>
      <c r="G969" s="41"/>
    </row>
    <row r="970">
      <c r="A970" s="41"/>
      <c r="B970" s="41"/>
      <c r="C970" s="41"/>
      <c r="D970" s="41"/>
      <c r="E970" s="41">
        <f t="shared" si="1"/>
        <v>0</v>
      </c>
      <c r="F970" s="41"/>
      <c r="G970" s="41"/>
    </row>
    <row r="971">
      <c r="A971" s="41"/>
      <c r="B971" s="41"/>
      <c r="C971" s="41"/>
      <c r="D971" s="41"/>
      <c r="E971" s="41">
        <f t="shared" si="1"/>
        <v>0</v>
      </c>
      <c r="F971" s="41"/>
      <c r="G971" s="41"/>
    </row>
    <row r="972">
      <c r="A972" s="41"/>
      <c r="B972" s="41"/>
      <c r="C972" s="41"/>
      <c r="D972" s="41"/>
      <c r="E972" s="41">
        <f t="shared" si="1"/>
        <v>0</v>
      </c>
      <c r="F972" s="41"/>
      <c r="G972" s="41"/>
    </row>
    <row r="973">
      <c r="A973" s="41"/>
      <c r="B973" s="41"/>
      <c r="C973" s="41"/>
      <c r="D973" s="41"/>
      <c r="E973" s="41">
        <f t="shared" si="1"/>
        <v>0</v>
      </c>
      <c r="F973" s="41"/>
      <c r="G973" s="41"/>
    </row>
    <row r="974">
      <c r="A974" s="41"/>
      <c r="B974" s="41"/>
      <c r="C974" s="41"/>
      <c r="D974" s="41"/>
      <c r="E974" s="41">
        <f t="shared" si="1"/>
        <v>0</v>
      </c>
      <c r="F974" s="41"/>
      <c r="G974" s="41"/>
    </row>
    <row r="975">
      <c r="A975" s="41"/>
      <c r="B975" s="41"/>
      <c r="C975" s="41"/>
      <c r="D975" s="41"/>
      <c r="E975" s="41">
        <f t="shared" si="1"/>
        <v>0</v>
      </c>
      <c r="F975" s="41"/>
      <c r="G975" s="41"/>
    </row>
    <row r="976">
      <c r="A976" s="41"/>
      <c r="B976" s="41"/>
      <c r="C976" s="41"/>
      <c r="D976" s="41"/>
      <c r="E976" s="41">
        <f t="shared" si="1"/>
        <v>0</v>
      </c>
      <c r="F976" s="41"/>
      <c r="G976" s="41"/>
    </row>
    <row r="977">
      <c r="A977" s="41"/>
      <c r="B977" s="41"/>
      <c r="C977" s="41"/>
      <c r="D977" s="41"/>
      <c r="E977" s="41">
        <f t="shared" si="1"/>
        <v>0</v>
      </c>
      <c r="F977" s="41"/>
      <c r="G977" s="41"/>
    </row>
    <row r="978">
      <c r="A978" s="41"/>
      <c r="B978" s="41"/>
      <c r="C978" s="41"/>
      <c r="D978" s="41"/>
      <c r="E978" s="41">
        <f t="shared" si="1"/>
        <v>0</v>
      </c>
      <c r="F978" s="41"/>
      <c r="G978" s="41"/>
    </row>
    <row r="979">
      <c r="A979" s="41"/>
      <c r="B979" s="41"/>
      <c r="C979" s="41"/>
      <c r="D979" s="41"/>
      <c r="E979" s="41">
        <f t="shared" si="1"/>
        <v>0</v>
      </c>
      <c r="F979" s="41"/>
      <c r="G979" s="41"/>
    </row>
    <row r="980">
      <c r="A980" s="41"/>
      <c r="B980" s="41"/>
      <c r="C980" s="41"/>
      <c r="D980" s="41"/>
      <c r="E980" s="41">
        <f t="shared" si="1"/>
        <v>0</v>
      </c>
      <c r="F980" s="41"/>
      <c r="G980" s="41"/>
    </row>
    <row r="981">
      <c r="A981" s="41"/>
      <c r="B981" s="41"/>
      <c r="C981" s="41"/>
      <c r="D981" s="41"/>
      <c r="E981" s="41">
        <f t="shared" si="1"/>
        <v>0</v>
      </c>
      <c r="F981" s="41"/>
      <c r="G981" s="41"/>
    </row>
    <row r="982">
      <c r="A982" s="41"/>
      <c r="B982" s="41"/>
      <c r="C982" s="41"/>
      <c r="D982" s="41"/>
      <c r="E982" s="41">
        <f t="shared" si="1"/>
        <v>0</v>
      </c>
      <c r="F982" s="41"/>
      <c r="G982" s="41"/>
    </row>
    <row r="983">
      <c r="A983" s="41"/>
      <c r="B983" s="41"/>
      <c r="C983" s="41"/>
      <c r="D983" s="41"/>
      <c r="E983" s="41">
        <f t="shared" si="1"/>
        <v>0</v>
      </c>
      <c r="F983" s="41"/>
      <c r="G983" s="41"/>
    </row>
    <row r="984">
      <c r="A984" s="41"/>
      <c r="B984" s="41"/>
      <c r="C984" s="41"/>
      <c r="D984" s="41"/>
      <c r="E984" s="41">
        <f t="shared" si="1"/>
        <v>0</v>
      </c>
      <c r="F984" s="41"/>
      <c r="G984" s="41"/>
    </row>
    <row r="985">
      <c r="A985" s="41"/>
      <c r="B985" s="41"/>
      <c r="C985" s="41"/>
      <c r="D985" s="41"/>
      <c r="E985" s="41">
        <f t="shared" si="1"/>
        <v>0</v>
      </c>
      <c r="F985" s="41"/>
      <c r="G985" s="41"/>
    </row>
    <row r="986">
      <c r="A986" s="41"/>
      <c r="B986" s="41"/>
      <c r="C986" s="41"/>
      <c r="D986" s="41"/>
      <c r="E986" s="41">
        <f t="shared" si="1"/>
        <v>0</v>
      </c>
      <c r="F986" s="41"/>
      <c r="G986" s="41"/>
    </row>
    <row r="987">
      <c r="A987" s="41"/>
      <c r="B987" s="41"/>
      <c r="C987" s="41"/>
      <c r="D987" s="41"/>
      <c r="E987" s="41">
        <f t="shared" si="1"/>
        <v>0</v>
      </c>
      <c r="F987" s="41"/>
      <c r="G987" s="41"/>
    </row>
    <row r="988">
      <c r="A988" s="41"/>
      <c r="B988" s="41"/>
      <c r="C988" s="41"/>
      <c r="D988" s="41"/>
      <c r="E988" s="41">
        <f t="shared" si="1"/>
        <v>0</v>
      </c>
      <c r="F988" s="41"/>
      <c r="G988" s="41"/>
    </row>
    <row r="989">
      <c r="A989" s="41"/>
      <c r="B989" s="41"/>
      <c r="C989" s="41"/>
      <c r="D989" s="41"/>
      <c r="E989" s="41">
        <f t="shared" si="1"/>
        <v>0</v>
      </c>
      <c r="F989" s="41"/>
      <c r="G989" s="41"/>
    </row>
    <row r="990">
      <c r="A990" s="41"/>
      <c r="B990" s="41"/>
      <c r="C990" s="41"/>
      <c r="D990" s="41"/>
      <c r="E990" s="41">
        <f t="shared" si="1"/>
        <v>0</v>
      </c>
      <c r="F990" s="41"/>
      <c r="G990" s="41"/>
    </row>
    <row r="991">
      <c r="A991" s="41"/>
      <c r="B991" s="41"/>
      <c r="C991" s="41"/>
      <c r="D991" s="41"/>
      <c r="E991" s="41">
        <f t="shared" si="1"/>
        <v>0</v>
      </c>
      <c r="F991" s="41"/>
      <c r="G991" s="41"/>
    </row>
    <row r="992">
      <c r="A992" s="41"/>
      <c r="B992" s="41"/>
      <c r="C992" s="41"/>
      <c r="D992" s="41"/>
      <c r="E992" s="41">
        <f t="shared" si="1"/>
        <v>0</v>
      </c>
      <c r="F992" s="41"/>
      <c r="G992" s="41"/>
    </row>
    <row r="993">
      <c r="A993" s="41"/>
      <c r="B993" s="41"/>
      <c r="C993" s="41"/>
      <c r="D993" s="41"/>
      <c r="E993" s="41">
        <f t="shared" si="1"/>
        <v>0</v>
      </c>
      <c r="F993" s="41"/>
      <c r="G993" s="41"/>
    </row>
    <row r="994">
      <c r="A994" s="41"/>
      <c r="B994" s="41"/>
      <c r="C994" s="41"/>
      <c r="D994" s="41"/>
      <c r="E994" s="41">
        <f t="shared" si="1"/>
        <v>0</v>
      </c>
      <c r="F994" s="41"/>
      <c r="G994" s="41"/>
    </row>
    <row r="995">
      <c r="A995" s="41"/>
      <c r="B995" s="41"/>
      <c r="C995" s="41"/>
      <c r="D995" s="41"/>
      <c r="E995" s="41">
        <f t="shared" si="1"/>
        <v>0</v>
      </c>
      <c r="F995" s="41"/>
      <c r="G995" s="41"/>
    </row>
    <row r="996">
      <c r="A996" s="41"/>
      <c r="B996" s="41"/>
      <c r="C996" s="41"/>
      <c r="D996" s="41"/>
      <c r="E996" s="41">
        <f t="shared" si="1"/>
        <v>0</v>
      </c>
      <c r="F996" s="41"/>
      <c r="G996" s="41"/>
    </row>
    <row r="997">
      <c r="A997" s="41"/>
      <c r="B997" s="41"/>
      <c r="C997" s="41"/>
      <c r="D997" s="41"/>
      <c r="E997" s="41">
        <f t="shared" si="1"/>
        <v>0</v>
      </c>
      <c r="F997" s="41"/>
      <c r="G997" s="41"/>
    </row>
    <row r="998">
      <c r="A998" s="41"/>
      <c r="B998" s="41"/>
      <c r="C998" s="41"/>
      <c r="D998" s="41"/>
      <c r="E998" s="41">
        <f t="shared" si="1"/>
        <v>0</v>
      </c>
      <c r="F998" s="41"/>
      <c r="G998" s="41"/>
    </row>
    <row r="999">
      <c r="A999" s="41"/>
      <c r="B999" s="41"/>
      <c r="C999" s="41"/>
      <c r="D999" s="41"/>
      <c r="E999" s="41">
        <f t="shared" si="1"/>
        <v>0</v>
      </c>
      <c r="F999" s="41"/>
      <c r="G999" s="41"/>
    </row>
    <row r="1000">
      <c r="A1000" s="41"/>
      <c r="B1000" s="41"/>
      <c r="C1000" s="41"/>
      <c r="D1000" s="41"/>
      <c r="E1000" s="41">
        <f t="shared" si="1"/>
        <v>0</v>
      </c>
      <c r="F1000" s="41"/>
      <c r="G1000" s="41"/>
    </row>
    <row r="1001">
      <c r="A1001" s="55" t="s">
        <v>1624</v>
      </c>
      <c r="B1001" s="65">
        <v>46046.65997872685</v>
      </c>
      <c r="C1001" s="66" t="s">
        <v>1529</v>
      </c>
      <c r="D1001" s="57">
        <v>0.0</v>
      </c>
      <c r="E1001" s="57">
        <v>1000.0</v>
      </c>
      <c r="F1001" s="41" t="str">
        <f t="shared" ref="F1001:F1002" si="2">F1000 + C1001 - D1001</f>
        <v>#VALUE!</v>
      </c>
      <c r="G1001" s="66" t="s">
        <v>1625</v>
      </c>
      <c r="H1001" s="16" t="s">
        <v>1528</v>
      </c>
    </row>
    <row r="1002">
      <c r="A1002" s="55" t="s">
        <v>1626</v>
      </c>
      <c r="B1002" s="65">
        <v>46046.76945841435</v>
      </c>
      <c r="C1002" s="66" t="s">
        <v>1226</v>
      </c>
      <c r="D1002" s="57">
        <v>0.0</v>
      </c>
      <c r="E1002" s="57">
        <v>150.0</v>
      </c>
      <c r="F1002" s="41" t="str">
        <f t="shared" si="2"/>
        <v>#VALUE!</v>
      </c>
      <c r="G1002" s="66" t="s">
        <v>1627</v>
      </c>
      <c r="H1002" s="16" t="s">
        <v>1225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/>
  </sheetViews>
  <sheetFormatPr customHeight="1" defaultColWidth="12.63" defaultRowHeight="15.75"/>
  <sheetData>
    <row r="1">
      <c r="A1" s="67" t="s">
        <v>1628</v>
      </c>
      <c r="D1" s="68"/>
      <c r="E1" s="68"/>
    </row>
    <row r="2">
      <c r="A2" s="55" t="s">
        <v>123</v>
      </c>
      <c r="B2" s="55" t="s">
        <v>1629</v>
      </c>
      <c r="C2" s="55" t="s">
        <v>1630</v>
      </c>
      <c r="D2" s="55" t="s">
        <v>1631</v>
      </c>
      <c r="E2" s="55" t="s">
        <v>1632</v>
      </c>
    </row>
  </sheetData>
  <mergeCells count="1">
    <mergeCell ref="A1:C1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3" width="15.13"/>
    <col customWidth="1" min="4" max="4" width="18.88"/>
    <col customWidth="1" min="5" max="5" width="10.13"/>
    <col customWidth="1" min="6" max="7" width="12.63"/>
    <col customWidth="1" min="8" max="8" width="25.13"/>
  </cols>
  <sheetData>
    <row r="1">
      <c r="A1" s="64" t="s">
        <v>1633</v>
      </c>
      <c r="B1" s="64" t="s">
        <v>123</v>
      </c>
      <c r="C1" s="64" t="s">
        <v>124</v>
      </c>
      <c r="D1" s="64" t="s">
        <v>1634</v>
      </c>
      <c r="E1" s="64" t="s">
        <v>1635</v>
      </c>
      <c r="F1" s="64" t="s">
        <v>1636</v>
      </c>
      <c r="G1" s="64" t="s">
        <v>1296</v>
      </c>
      <c r="H1" s="64" t="s">
        <v>1292</v>
      </c>
    </row>
    <row r="2">
      <c r="A2" s="66" t="s">
        <v>1637</v>
      </c>
      <c r="B2" s="66" t="s">
        <v>1345</v>
      </c>
      <c r="C2" s="66" t="s">
        <v>1131</v>
      </c>
      <c r="D2" s="66" t="s">
        <v>1345</v>
      </c>
      <c r="E2" s="57">
        <v>1.0</v>
      </c>
      <c r="F2" s="55" t="b">
        <v>1</v>
      </c>
      <c r="G2" s="41"/>
      <c r="H2" s="55" t="s">
        <v>1638</v>
      </c>
    </row>
    <row r="3">
      <c r="A3" s="66" t="s">
        <v>1639</v>
      </c>
      <c r="B3" s="66" t="s">
        <v>1345</v>
      </c>
      <c r="C3" s="66" t="s">
        <v>1131</v>
      </c>
      <c r="D3" s="66" t="s">
        <v>1345</v>
      </c>
      <c r="E3" s="57">
        <v>1.0</v>
      </c>
      <c r="F3" s="55" t="b">
        <v>1</v>
      </c>
      <c r="G3" s="41"/>
      <c r="H3" s="55" t="s">
        <v>1640</v>
      </c>
    </row>
    <row r="4">
      <c r="A4" s="66" t="s">
        <v>1641</v>
      </c>
      <c r="B4" s="66" t="s">
        <v>1335</v>
      </c>
      <c r="C4" s="66" t="s">
        <v>1131</v>
      </c>
      <c r="D4" s="66" t="s">
        <v>1335</v>
      </c>
      <c r="E4" s="57">
        <v>1.0</v>
      </c>
      <c r="F4" s="55" t="b">
        <v>1</v>
      </c>
      <c r="G4" s="41"/>
      <c r="H4" s="55" t="s">
        <v>1642</v>
      </c>
    </row>
    <row r="5">
      <c r="A5" s="66" t="s">
        <v>1643</v>
      </c>
      <c r="B5" s="66" t="s">
        <v>1335</v>
      </c>
      <c r="C5" s="66" t="s">
        <v>1131</v>
      </c>
      <c r="D5" s="66" t="s">
        <v>1335</v>
      </c>
      <c r="E5" s="57">
        <v>1.0</v>
      </c>
      <c r="F5" s="55" t="b">
        <v>1</v>
      </c>
      <c r="G5" s="41"/>
      <c r="H5" s="55" t="s">
        <v>1642</v>
      </c>
    </row>
    <row r="6">
      <c r="A6" s="66" t="s">
        <v>1644</v>
      </c>
      <c r="B6" s="66" t="s">
        <v>1645</v>
      </c>
      <c r="C6" s="66" t="s">
        <v>1131</v>
      </c>
      <c r="D6" s="66" t="s">
        <v>1645</v>
      </c>
      <c r="E6" s="57">
        <v>1.0</v>
      </c>
      <c r="F6" s="55" t="b">
        <v>1</v>
      </c>
      <c r="G6" s="41"/>
      <c r="H6" s="55" t="s">
        <v>1646</v>
      </c>
    </row>
    <row r="7">
      <c r="A7" s="66" t="s">
        <v>1647</v>
      </c>
      <c r="B7" s="66" t="s">
        <v>1645</v>
      </c>
      <c r="C7" s="66" t="s">
        <v>1131</v>
      </c>
      <c r="D7" s="66" t="s">
        <v>1645</v>
      </c>
      <c r="E7" s="57">
        <v>1.0</v>
      </c>
      <c r="F7" s="55" t="b">
        <v>1</v>
      </c>
      <c r="G7" s="41"/>
      <c r="H7" s="55" t="s">
        <v>1646</v>
      </c>
    </row>
    <row r="8">
      <c r="A8" s="66" t="s">
        <v>1648</v>
      </c>
      <c r="B8" s="66" t="s">
        <v>1649</v>
      </c>
      <c r="C8" s="66" t="s">
        <v>1650</v>
      </c>
      <c r="D8" s="66" t="s">
        <v>1649</v>
      </c>
      <c r="E8" s="57">
        <v>1.0</v>
      </c>
      <c r="F8" s="55" t="b">
        <v>1</v>
      </c>
      <c r="G8" s="41"/>
      <c r="H8" s="55" t="s">
        <v>1651</v>
      </c>
    </row>
    <row r="9">
      <c r="A9" s="55" t="s">
        <v>1652</v>
      </c>
      <c r="B9" s="66" t="s">
        <v>1649</v>
      </c>
      <c r="C9" s="66" t="s">
        <v>1131</v>
      </c>
      <c r="D9" s="66" t="s">
        <v>1649</v>
      </c>
      <c r="E9" s="57">
        <v>1.0</v>
      </c>
      <c r="F9" s="55" t="b">
        <v>1</v>
      </c>
      <c r="G9" s="41"/>
      <c r="H9" s="55" t="s">
        <v>1653</v>
      </c>
    </row>
    <row r="10">
      <c r="A10" s="55" t="s">
        <v>1654</v>
      </c>
      <c r="B10" s="66" t="s">
        <v>1508</v>
      </c>
      <c r="C10" s="66" t="s">
        <v>1655</v>
      </c>
      <c r="D10" s="66" t="s">
        <v>1508</v>
      </c>
      <c r="E10" s="57">
        <v>1.0</v>
      </c>
      <c r="F10" s="55" t="b">
        <v>1</v>
      </c>
      <c r="G10" s="41"/>
      <c r="H10" s="55" t="s">
        <v>1656</v>
      </c>
    </row>
    <row r="11">
      <c r="A11" s="66" t="s">
        <v>1657</v>
      </c>
      <c r="B11" s="66" t="s">
        <v>1508</v>
      </c>
      <c r="C11" s="66" t="s">
        <v>1655</v>
      </c>
      <c r="D11" s="66" t="s">
        <v>1508</v>
      </c>
      <c r="E11" s="57">
        <v>1.0</v>
      </c>
      <c r="F11" s="55" t="b">
        <v>1</v>
      </c>
      <c r="G11" s="41"/>
      <c r="H11" s="55" t="s">
        <v>1658</v>
      </c>
    </row>
    <row r="12">
      <c r="A12" s="66" t="s">
        <v>1659</v>
      </c>
      <c r="B12" s="66" t="s">
        <v>1527</v>
      </c>
      <c r="C12" s="66" t="s">
        <v>1660</v>
      </c>
      <c r="D12" s="66" t="s">
        <v>1527</v>
      </c>
      <c r="E12" s="57">
        <v>1.0</v>
      </c>
      <c r="F12" s="55" t="b">
        <v>1</v>
      </c>
      <c r="G12" s="41"/>
      <c r="H12" s="55" t="s">
        <v>1661</v>
      </c>
    </row>
    <row r="13">
      <c r="A13" s="66" t="s">
        <v>1662</v>
      </c>
      <c r="B13" s="66" t="s">
        <v>1136</v>
      </c>
      <c r="C13" s="66" t="s">
        <v>1223</v>
      </c>
      <c r="D13" s="66" t="s">
        <v>1136</v>
      </c>
      <c r="E13" s="57">
        <v>2.0</v>
      </c>
      <c r="F13" s="55" t="b">
        <v>1</v>
      </c>
      <c r="G13" s="41"/>
      <c r="H13" s="55" t="s">
        <v>1663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69" t="s">
        <v>123</v>
      </c>
      <c r="B1" s="69" t="s">
        <v>1664</v>
      </c>
      <c r="C1" s="69" t="s">
        <v>1665</v>
      </c>
      <c r="D1" s="69" t="s">
        <v>1666</v>
      </c>
      <c r="E1" s="69" t="s">
        <v>1667</v>
      </c>
      <c r="F1" s="69" t="s">
        <v>1668</v>
      </c>
      <c r="G1" s="69" t="s">
        <v>98</v>
      </c>
      <c r="H1" s="69" t="s">
        <v>1669</v>
      </c>
      <c r="I1" s="69" t="s">
        <v>1670</v>
      </c>
      <c r="J1" s="16" t="s">
        <v>1671</v>
      </c>
    </row>
    <row r="2">
      <c r="A2" s="23" t="s">
        <v>1335</v>
      </c>
      <c r="B2" s="17">
        <v>1500.0</v>
      </c>
      <c r="C2" s="17">
        <v>0.0</v>
      </c>
      <c r="D2" s="17">
        <v>1500.0</v>
      </c>
      <c r="E2" s="17">
        <v>0.0</v>
      </c>
      <c r="G2" s="23" t="s">
        <v>1672</v>
      </c>
    </row>
    <row r="3">
      <c r="A3" s="23" t="s">
        <v>1673</v>
      </c>
      <c r="B3" s="17">
        <v>800.0</v>
      </c>
      <c r="C3" s="17">
        <v>0.0</v>
      </c>
      <c r="D3" s="17">
        <v>800.0</v>
      </c>
      <c r="E3" s="17">
        <v>0.0</v>
      </c>
      <c r="G3" s="23" t="s">
        <v>1672</v>
      </c>
    </row>
    <row r="4">
      <c r="A4" s="23" t="s">
        <v>1674</v>
      </c>
      <c r="B4" s="17">
        <v>600.0</v>
      </c>
      <c r="C4" s="17">
        <v>0.0</v>
      </c>
      <c r="D4" s="17">
        <v>600.0</v>
      </c>
      <c r="E4" s="17">
        <v>0.0</v>
      </c>
      <c r="G4" s="23" t="s">
        <v>1672</v>
      </c>
    </row>
    <row r="5">
      <c r="A5" s="23" t="s">
        <v>1675</v>
      </c>
      <c r="B5" s="17">
        <v>500.0</v>
      </c>
      <c r="C5" s="17">
        <v>0.0</v>
      </c>
      <c r="D5" s="17">
        <v>500.0</v>
      </c>
      <c r="E5" s="17">
        <v>0.0</v>
      </c>
      <c r="G5" s="23" t="s">
        <v>1672</v>
      </c>
    </row>
    <row r="6">
      <c r="A6" s="23" t="s">
        <v>1676</v>
      </c>
      <c r="B6" s="17">
        <v>700.0</v>
      </c>
      <c r="C6" s="17">
        <v>0.0</v>
      </c>
      <c r="D6" s="17">
        <v>700.0</v>
      </c>
      <c r="E6" s="17">
        <v>0.0</v>
      </c>
      <c r="G6" s="23" t="s">
        <v>1672</v>
      </c>
    </row>
    <row r="7">
      <c r="A7" s="23" t="s">
        <v>1677</v>
      </c>
      <c r="B7" s="17">
        <v>400.0</v>
      </c>
      <c r="C7" s="17">
        <v>0.0</v>
      </c>
      <c r="D7" s="17">
        <v>400.0</v>
      </c>
      <c r="E7" s="17">
        <v>0.0</v>
      </c>
      <c r="G7" s="23" t="s">
        <v>1672</v>
      </c>
    </row>
    <row r="8">
      <c r="A8" s="23" t="s">
        <v>1649</v>
      </c>
      <c r="B8" s="17">
        <v>500.0</v>
      </c>
      <c r="C8" s="17">
        <v>0.0</v>
      </c>
      <c r="D8" s="17">
        <v>500.0</v>
      </c>
      <c r="E8" s="17">
        <v>0.0</v>
      </c>
      <c r="G8" s="23" t="s">
        <v>1672</v>
      </c>
    </row>
    <row r="9">
      <c r="A9" s="23" t="s">
        <v>1678</v>
      </c>
      <c r="B9" s="17">
        <v>300.0</v>
      </c>
      <c r="C9" s="17">
        <v>0.0</v>
      </c>
      <c r="D9" s="17">
        <v>300.0</v>
      </c>
      <c r="E9" s="17">
        <v>0.0</v>
      </c>
      <c r="G9" s="23" t="s">
        <v>1672</v>
      </c>
    </row>
    <row r="10">
      <c r="A10" s="23" t="s">
        <v>1679</v>
      </c>
      <c r="B10" s="17">
        <v>0.0</v>
      </c>
      <c r="C10" s="17">
        <v>0.0</v>
      </c>
      <c r="D10" s="17">
        <v>0.0</v>
      </c>
      <c r="E10" s="17">
        <v>0.0</v>
      </c>
      <c r="G10" s="23" t="s">
        <v>1672</v>
      </c>
    </row>
    <row r="11">
      <c r="A11" s="23" t="s">
        <v>1308</v>
      </c>
      <c r="B11" s="17">
        <v>0.0</v>
      </c>
      <c r="C11" s="17">
        <v>0.0</v>
      </c>
      <c r="D11" s="17">
        <v>0.0</v>
      </c>
      <c r="E11" s="17">
        <v>0.0</v>
      </c>
      <c r="G11" s="23" t="s">
        <v>1672</v>
      </c>
    </row>
    <row r="12">
      <c r="A12" s="23" t="s">
        <v>1527</v>
      </c>
      <c r="B12" s="17">
        <v>0.0</v>
      </c>
      <c r="C12" s="17">
        <v>0.0</v>
      </c>
      <c r="D12" s="17">
        <v>0.0</v>
      </c>
      <c r="E12" s="16">
        <v>0.0</v>
      </c>
      <c r="G12" s="23" t="s">
        <v>1672</v>
      </c>
    </row>
    <row r="13">
      <c r="A13" s="23" t="s">
        <v>1130</v>
      </c>
      <c r="B13" s="17">
        <v>200.0</v>
      </c>
      <c r="C13" s="17">
        <v>252.05</v>
      </c>
      <c r="D13" s="17">
        <v>-52.05000000000001</v>
      </c>
      <c r="E13" s="17">
        <v>126.025</v>
      </c>
      <c r="G13" s="23" t="s">
        <v>1680</v>
      </c>
    </row>
    <row r="14">
      <c r="A14" s="23" t="s">
        <v>1176</v>
      </c>
      <c r="B14" s="17">
        <v>0.0</v>
      </c>
      <c r="C14" s="17">
        <v>40.0</v>
      </c>
      <c r="D14" s="17">
        <v>-40.0</v>
      </c>
      <c r="E14" s="16">
        <v>0.0</v>
      </c>
      <c r="G14" s="23" t="s">
        <v>1672</v>
      </c>
    </row>
    <row r="15">
      <c r="A15" s="16" t="s">
        <v>1211</v>
      </c>
      <c r="B15" s="17">
        <v>0.0</v>
      </c>
      <c r="C15" s="17">
        <v>53.5</v>
      </c>
      <c r="D15" s="17">
        <v>-53.5</v>
      </c>
      <c r="E15" s="16">
        <v>0.0</v>
      </c>
      <c r="G15" s="23" t="s">
        <v>1672</v>
      </c>
    </row>
    <row r="16">
      <c r="A16" s="23" t="s">
        <v>1196</v>
      </c>
      <c r="B16" s="17">
        <v>0.0</v>
      </c>
      <c r="C16" s="17">
        <v>152.15</v>
      </c>
      <c r="D16" s="17">
        <v>-141.15</v>
      </c>
      <c r="E16" s="16" t="s">
        <v>1238</v>
      </c>
      <c r="G16" s="23" t="s">
        <v>1672</v>
      </c>
    </row>
    <row r="17">
      <c r="A17" s="23" t="s">
        <v>1222</v>
      </c>
      <c r="B17" s="17">
        <v>0.0</v>
      </c>
      <c r="C17" s="17">
        <v>150.0</v>
      </c>
      <c r="D17" s="17">
        <v>-150.0</v>
      </c>
      <c r="E17" s="16">
        <v>0.0</v>
      </c>
      <c r="G17" s="23" t="s">
        <v>1672</v>
      </c>
    </row>
    <row r="18">
      <c r="A18" s="23" t="s">
        <v>1182</v>
      </c>
      <c r="B18" s="17">
        <v>0.0</v>
      </c>
      <c r="C18" s="17">
        <v>5.0</v>
      </c>
      <c r="D18" s="17">
        <v>-2.0</v>
      </c>
      <c r="E18" s="16" t="s">
        <v>1681</v>
      </c>
      <c r="G18" s="23" t="s">
        <v>1672</v>
      </c>
    </row>
    <row r="19">
      <c r="A19" s="16" t="s">
        <v>97</v>
      </c>
      <c r="B19" s="17">
        <v>0.0</v>
      </c>
      <c r="C19" s="17">
        <v>130.75</v>
      </c>
      <c r="D19" s="48">
        <f t="shared" ref="D19:D22" si="1">B19-C19</f>
        <v>-130.75</v>
      </c>
      <c r="E19" s="16" t="s">
        <v>1682</v>
      </c>
    </row>
    <row r="20">
      <c r="A20" s="23" t="s">
        <v>1188</v>
      </c>
      <c r="B20" s="17">
        <v>0.0</v>
      </c>
      <c r="C20" s="17">
        <v>4.0</v>
      </c>
      <c r="D20" s="48">
        <f t="shared" si="1"/>
        <v>-4</v>
      </c>
      <c r="E20" s="16" t="s">
        <v>1683</v>
      </c>
    </row>
    <row r="21">
      <c r="A21" s="23" t="s">
        <v>1684</v>
      </c>
      <c r="B21" s="17">
        <v>0.0</v>
      </c>
      <c r="C21" s="17">
        <v>0.0</v>
      </c>
      <c r="D21" s="48">
        <f t="shared" si="1"/>
        <v>0</v>
      </c>
      <c r="E21" s="16"/>
    </row>
    <row r="22">
      <c r="A22" s="23" t="s">
        <v>1247</v>
      </c>
      <c r="B22" s="17">
        <v>0.0</v>
      </c>
      <c r="C22" s="17">
        <v>45.0</v>
      </c>
      <c r="D22" s="48">
        <f t="shared" si="1"/>
        <v>-45</v>
      </c>
      <c r="E22" s="16" t="s">
        <v>1685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8.88"/>
    <col customWidth="1" min="3" max="3" width="15.13"/>
    <col customWidth="1" min="4" max="4" width="25.13"/>
    <col customWidth="1" min="5" max="6" width="18.88"/>
    <col customWidth="1" min="7" max="7" width="12.63"/>
    <col customWidth="1" min="8" max="9" width="18.88"/>
  </cols>
  <sheetData>
    <row r="1">
      <c r="A1" s="70" t="s">
        <v>1296</v>
      </c>
      <c r="B1" s="71" t="s">
        <v>1686</v>
      </c>
      <c r="C1" s="70" t="s">
        <v>1687</v>
      </c>
      <c r="D1" s="71" t="s">
        <v>1688</v>
      </c>
      <c r="E1" s="71" t="s">
        <v>1689</v>
      </c>
      <c r="F1" s="71" t="s">
        <v>1580</v>
      </c>
      <c r="G1" s="71" t="s">
        <v>1579</v>
      </c>
      <c r="H1" s="71" t="s">
        <v>1690</v>
      </c>
      <c r="I1" s="71" t="s">
        <v>1691</v>
      </c>
    </row>
    <row r="2">
      <c r="A2" s="55" t="s">
        <v>45</v>
      </c>
      <c r="B2" s="66" t="s">
        <v>1692</v>
      </c>
      <c r="C2" s="55">
        <v>1.23456789E8</v>
      </c>
      <c r="D2" s="55">
        <v>9767.1234</v>
      </c>
      <c r="E2" s="55">
        <v>5678.0</v>
      </c>
      <c r="F2" s="65">
        <v>46042.924935324074</v>
      </c>
      <c r="G2" s="66" t="s">
        <v>1583</v>
      </c>
      <c r="H2" s="41"/>
      <c r="I2" s="41"/>
    </row>
    <row r="3">
      <c r="A3" s="55" t="s">
        <v>42</v>
      </c>
      <c r="B3" s="66" t="s">
        <v>1693</v>
      </c>
      <c r="C3" s="55">
        <v>9.87654321E8</v>
      </c>
      <c r="D3" s="55">
        <v>4321.0</v>
      </c>
      <c r="E3" s="55">
        <v>8765.0</v>
      </c>
      <c r="F3" s="65">
        <v>46042.92493677083</v>
      </c>
      <c r="G3" s="66" t="s">
        <v>1583</v>
      </c>
      <c r="H3" s="41"/>
      <c r="I3" s="41"/>
    </row>
  </sheetData>
  <drawing r:id="rId1"/>
</worksheet>
</file>